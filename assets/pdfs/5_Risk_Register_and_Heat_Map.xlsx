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96FA" lockStructure="1" lockWindows="0"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Heat Map - Inherent" sheetId="3" state="visible" r:id="rId3"/>
    <sheet xmlns:r="http://schemas.openxmlformats.org/officeDocument/2006/relationships" name="Heat Map - Residual" sheetId="4" state="visible" r:id="rId4"/>
    <sheet xmlns:r="http://schemas.openxmlformats.org/officeDocument/2006/relationships" name="Scoring Criteria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9"/>
      <sz val="18"/>
    </font>
    <font>
      <name val="Arial"/>
      <charset val="1"/>
      <family val="0"/>
      <b val="1"/>
      <color rgb="FF1F4E79"/>
      <sz val="14"/>
    </font>
    <font>
      <name val="Arial"/>
      <charset val="1"/>
      <family val="0"/>
      <i val="1"/>
      <color rgb="FF595959"/>
      <sz val="12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b val="1"/>
      <color rgb="FF1F4E79"/>
      <sz val="12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595959"/>
      <sz val="9"/>
    </font>
    <font>
      <name val="Calibri"/>
      <b val="1"/>
      <i val="1"/>
      <color rgb="00C2410C"/>
      <sz val="10"/>
    </font>
  </fonts>
  <fills count="9">
    <fill>
      <patternFill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FF6666"/>
        <bgColor rgb="FFFF6600"/>
      </patternFill>
    </fill>
    <fill>
      <patternFill patternType="solid">
        <fgColor rgb="FFFFC000"/>
        <bgColor rgb="FFFF9900"/>
      </patternFill>
    </fill>
    <fill>
      <patternFill patternType="solid">
        <fgColor rgb="FFFFE699"/>
        <bgColor rgb="FFFFCC99"/>
      </patternFill>
    </fill>
    <fill>
      <patternFill patternType="solid">
        <fgColor rgb="FFC6EFCE"/>
        <bgColor rgb="FFCCFFFF"/>
      </patternFill>
    </fill>
    <fill>
      <patternFill patternType="solid">
        <fgColor rgb="FF1F4E79"/>
        <bgColor rgb="FF003366"/>
      </patternFill>
    </fill>
    <fill>
      <patternFill patternType="solid">
        <fgColor rgb="00FFF7ED"/>
        <bgColor rgb="00FFF7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0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2" fillId="8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0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6666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8" customWidth="1" style="28" min="1" max="1"/>
    <col width="100" customWidth="1" style="28" min="2" max="2"/>
  </cols>
  <sheetData>
    <row r="1" ht="30" customHeight="1" s="29">
      <c r="A1" s="30" t="inlineStr">
        <is>
          <t>Tejaswini Dondeti — Portfolio Sample  •  tejaswinidondeti.github.io  •  Read-only preview — please do not edit or redistribute</t>
        </is>
      </c>
    </row>
    <row r="2" ht="17.35" customHeight="1" s="29">
      <c r="A2" s="31" t="inlineStr">
        <is>
          <t>TechStart Inc.</t>
        </is>
      </c>
    </row>
    <row r="3" ht="15" customHeight="1" s="29">
      <c r="A3" s="32" t="inlineStr">
        <is>
          <t>Information Security Risk Register</t>
        </is>
      </c>
    </row>
    <row r="4">
      <c r="A4" s="33" t="inlineStr">
        <is>
          <t>Cloud Migration Program — ISO/IEC 27001:2022 &amp; NIST CSF</t>
        </is>
      </c>
    </row>
    <row r="5" ht="15" customHeight="1" s="29"/>
    <row r="6" ht="15" customHeight="1" s="29">
      <c r="A6" s="34" t="inlineStr">
        <is>
          <t>Document ID:</t>
        </is>
      </c>
      <c r="B6" s="35" t="inlineStr">
        <is>
          <t>TS-ISMS-RR-001</t>
        </is>
      </c>
    </row>
    <row r="7" ht="15" customHeight="1" s="29">
      <c r="A7" s="34" t="inlineStr">
        <is>
          <t>Version:</t>
        </is>
      </c>
      <c r="B7" s="35" t="inlineStr">
        <is>
          <t>1.0</t>
        </is>
      </c>
    </row>
    <row r="8" ht="15" customHeight="1" s="29">
      <c r="A8" s="34" t="inlineStr">
        <is>
          <t>Assessment Date:</t>
        </is>
      </c>
      <c r="B8" s="35" t="inlineStr">
        <is>
          <t>Q3 2024</t>
        </is>
      </c>
    </row>
    <row r="9" ht="26.85" customHeight="1" s="29">
      <c r="A9" s="34" t="inlineStr">
        <is>
          <t>Risk Owner:</t>
        </is>
      </c>
      <c r="B9" s="35" t="inlineStr">
        <is>
          <t>CISO / GRC Lead</t>
        </is>
      </c>
    </row>
    <row r="10" ht="26.85" customHeight="1" s="29">
      <c r="A10" s="34" t="inlineStr">
        <is>
          <t>Scope:</t>
        </is>
      </c>
      <c r="B10" s="35" t="inlineStr">
        <is>
          <t>Migration of 5M+ record customer database from on-premises to AWS; associated IAM, data pipeline, and business continuity workstreams</t>
        </is>
      </c>
    </row>
    <row r="11" ht="26.85" customHeight="1" s="29">
      <c r="A11" s="34" t="inlineStr">
        <is>
          <t>Methodology:</t>
        </is>
      </c>
      <c r="B11" s="35" t="inlineStr">
        <is>
          <t>ISO 31000:2018 risk management; 5x5 likelihood × impact matrix; risk treatment per ISO/IEC 27005; controls mapped to ISO 27001:2022 Annex A and NIST CSF v1.1</t>
        </is>
      </c>
    </row>
    <row r="12" ht="26.85" customHeight="1" s="29">
      <c r="A12" s="34" t="inlineStr">
        <is>
          <t>Scoring:</t>
        </is>
      </c>
      <c r="B12" s="35" t="inlineStr">
        <is>
          <t>Likelihood 1–5 (Rare → Almost Certain); Impact 1–5 (Negligible → Catastrophic); Risk Score = L × I; Risk Level: 1-4 Low, 5-9 Medium, 10-14 Medium-High, 15-19 High, 20-25 Critical</t>
        </is>
      </c>
    </row>
    <row r="13">
      <c r="A13" s="34" t="inlineStr">
        <is>
          <t>Acceptance:</t>
        </is>
      </c>
      <c r="B13" s="35" t="inlineStr">
        <is>
          <t>Risk owner signoff required for all Critical and High residual risks; Board Risk &amp; Audit Committee notified of any residual Critical</t>
        </is>
      </c>
    </row>
    <row r="14" ht="15" customHeight="1" s="29"/>
    <row r="15" ht="15" customHeight="1" s="29">
      <c r="A15" s="36" t="inlineStr">
        <is>
          <t>Risk Level Legend</t>
        </is>
      </c>
    </row>
    <row r="16" ht="15" customHeight="1" s="29">
      <c r="A16" s="37" t="inlineStr">
        <is>
          <t>Critical (20-25)</t>
        </is>
      </c>
      <c r="B16" s="35" t="inlineStr">
        <is>
          <t>Immediate action required; stop migration phase until treated</t>
        </is>
      </c>
    </row>
    <row r="17" ht="15" customHeight="1" s="29">
      <c r="A17" s="38" t="inlineStr">
        <is>
          <t>High (15-19)</t>
        </is>
      </c>
      <c r="B17" s="35" t="inlineStr">
        <is>
          <t>Treat within current sprint; escalate to CISO</t>
        </is>
      </c>
    </row>
    <row r="18" ht="15" customHeight="1" s="29">
      <c r="A18" s="39" t="inlineStr">
        <is>
          <t>Medium-High (10-14)</t>
        </is>
      </c>
      <c r="B18" s="35" t="inlineStr">
        <is>
          <t>Treat before cutover; formal treatment plan required</t>
        </is>
      </c>
    </row>
    <row r="19" ht="15" customHeight="1" s="29">
      <c r="A19" s="40" t="inlineStr">
        <is>
          <t>Medium (5-9)</t>
        </is>
      </c>
      <c r="B19" s="35" t="inlineStr">
        <is>
          <t>Treat or accept with owner signoff; track in register</t>
        </is>
      </c>
    </row>
    <row r="20">
      <c r="A20" s="41" t="inlineStr">
        <is>
          <t>Low (1-4)</t>
        </is>
      </c>
      <c r="B20" s="35" t="inlineStr">
        <is>
          <t>Accept and monitor; review annually</t>
        </is>
      </c>
    </row>
    <row r="21" ht="15" customHeight="1" s="29"/>
    <row r="22" ht="15" customHeight="1" s="29">
      <c r="A22" s="36" t="inlineStr">
        <is>
          <t>Risk Summary (live counts)</t>
        </is>
      </c>
    </row>
    <row r="23" ht="15" customHeight="1" s="29">
      <c r="A23" s="34" t="inlineStr">
        <is>
          <t>Total risks identified:</t>
        </is>
      </c>
      <c r="B23" s="42">
        <f>COUNTA(Register!A4:A50)-COUNTIF(Register!A4:A50,"")</f>
        <v/>
      </c>
    </row>
    <row r="24" ht="15" customHeight="1" s="29">
      <c r="A24" s="34" t="inlineStr">
        <is>
          <t>Inherent Critical:</t>
        </is>
      </c>
      <c r="B24" s="42">
        <f>COUNTIF(Register!H4:H50,"Critical")</f>
        <v/>
      </c>
    </row>
    <row r="25" ht="15" customHeight="1" s="29">
      <c r="A25" s="34" t="inlineStr">
        <is>
          <t>Inherent High:</t>
        </is>
      </c>
      <c r="B25" s="42">
        <f>COUNTIF(Register!H4:H50,"High")</f>
        <v/>
      </c>
    </row>
    <row r="26" ht="15" customHeight="1" s="29">
      <c r="A26" s="34" t="inlineStr">
        <is>
          <t>Residual Critical:</t>
        </is>
      </c>
      <c r="B26" s="42">
        <f>COUNTIF(Register!N4:N50,"Critical")</f>
        <v/>
      </c>
    </row>
    <row r="27" ht="15" customHeight="1" s="29">
      <c r="A27" s="34" t="inlineStr">
        <is>
          <t>Residual High:</t>
        </is>
      </c>
      <c r="B27" s="42">
        <f>COUNTIF(Register!N4:N50,"High")</f>
        <v/>
      </c>
    </row>
    <row r="28">
      <c r="A28" s="34" t="inlineStr">
        <is>
          <t>Residual Medium-High or below:</t>
        </is>
      </c>
      <c r="B28" s="42">
        <f>COUNTIF(Register!N4:N50,"Medium-High")+COUNTIF(Register!N4:N50,"Medium")+COUNTIF(Register!N4:N50,"Low")</f>
        <v/>
      </c>
    </row>
  </sheetData>
  <sheetProtection selectLockedCells="0" selectUnlockedCells="0" sheet="1" objects="0" insertRows="0" insertHyperlinks="0" autoFilter="1" scenarios="0" formatColumns="0" deleteColumns="0" insertColumns="0" pivotTables="0" deleteRows="0" formatCells="0" formatRows="0" sort="1" password="96FA"/>
  <mergeCells count="1"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&amp;C&amp;10 &amp;KC2410C&amp;B&amp;"Calibri"&amp;10&amp;K592816Tejaswini Dondeti — Portfolio Sample</oddHeader>
    <oddFooter/>
    <evenHeader>&amp;C&amp;10 &amp;KC2410C&amp;B&amp;"Calibri"&amp;10&amp;K592816Tejaswini Dondeti — Portfolio Sample</evenHeader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P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0" customWidth="1" style="28" min="1" max="1"/>
    <col width="28" customWidth="1" style="28" min="2" max="2"/>
    <col width="50" customWidth="1" style="28" min="3" max="3"/>
    <col width="22" customWidth="1" style="28" min="4" max="4"/>
    <col width="14" customWidth="1" style="28" min="5" max="6"/>
    <col width="10" customWidth="1" style="28" min="7" max="7"/>
    <col width="12" customWidth="1" style="28" min="8" max="8"/>
    <col width="22" customWidth="1" style="28" min="9" max="9"/>
    <col width="40" customWidth="1" style="28" min="10" max="10"/>
    <col width="22" customWidth="1" style="28" min="11" max="12"/>
    <col width="14" customWidth="1" style="28" min="13" max="14"/>
    <col width="10" customWidth="1" style="28" min="15" max="15"/>
    <col width="12" customWidth="1" style="28" min="16" max="16"/>
  </cols>
  <sheetData>
    <row r="1" ht="30" customHeight="1" s="29">
      <c r="A1" s="30" t="inlineStr">
        <is>
          <t>Tejaswini Dondeti — Portfolio Sample  •  tejaswinidondeti.github.io  •  Read-only preview — please do not edit or redistribute</t>
        </is>
      </c>
    </row>
    <row r="2">
      <c r="A2" s="32" t="inlineStr">
        <is>
          <t>Risk Register — TechStart Cloud Migration</t>
        </is>
      </c>
    </row>
    <row r="3" ht="39.55" customHeight="1" s="29"/>
    <row r="4" ht="94.5" customHeight="1" s="29">
      <c r="A4" s="43" t="inlineStr">
        <is>
          <t>Risk ID</t>
        </is>
      </c>
      <c r="B4" s="43" t="inlineStr">
        <is>
          <t>Risk Title</t>
        </is>
      </c>
      <c r="C4" s="43" t="inlineStr">
        <is>
          <t>Risk Description</t>
        </is>
      </c>
      <c r="D4" s="43" t="inlineStr">
        <is>
          <t>Asset Affected</t>
        </is>
      </c>
      <c r="E4" s="43" t="inlineStr">
        <is>
          <t>Inherent Likelihood (1-5)</t>
        </is>
      </c>
      <c r="F4" s="43" t="inlineStr">
        <is>
          <t>Inherent Impact (1-5)</t>
        </is>
      </c>
      <c r="G4" s="43" t="inlineStr">
        <is>
          <t>Inherent Score</t>
        </is>
      </c>
      <c r="H4" s="43" t="inlineStr">
        <is>
          <t>Inherent Level</t>
        </is>
      </c>
      <c r="I4" s="43" t="inlineStr">
        <is>
          <t>Treatment Strategy</t>
        </is>
      </c>
      <c r="J4" s="43" t="inlineStr">
        <is>
          <t>Control(s) — ISO 27001 Annex A</t>
        </is>
      </c>
      <c r="K4" s="43" t="inlineStr">
        <is>
          <t>NIST CSF Function</t>
        </is>
      </c>
      <c r="L4" s="43" t="inlineStr">
        <is>
          <t>Risk Owner</t>
        </is>
      </c>
      <c r="M4" s="43" t="inlineStr">
        <is>
          <t>Residual Likelihood (1-5)</t>
        </is>
      </c>
      <c r="N4" s="43" t="inlineStr">
        <is>
          <t>Residual Impact (1-5)</t>
        </is>
      </c>
      <c r="O4" s="43" t="inlineStr">
        <is>
          <t>Residual Score</t>
        </is>
      </c>
      <c r="P4" s="43" t="inlineStr">
        <is>
          <t>Residual Level</t>
        </is>
      </c>
    </row>
    <row r="5" ht="94.5" customHeight="1" s="29">
      <c r="A5" s="44" t="inlineStr">
        <is>
          <t>R-01</t>
        </is>
      </c>
      <c r="B5" s="44" t="inlineStr">
        <is>
          <t>Unauthorized access to customer database during migration</t>
        </is>
      </c>
      <c r="C5" s="45" t="inlineStr">
        <is>
          <t>Misconfigured IAM policies, weak credentials, or exposed endpoints during DMS migration expose 5M+ customer PII records to unauthorized access (external attacker or internal actor). Exploitation leads to data exfiltration and regulatory breach.</t>
        </is>
      </c>
      <c r="D5" s="45" t="inlineStr">
        <is>
          <t>Customer PII Database (RDS)</t>
        </is>
      </c>
      <c r="E5" s="45" t="n">
        <v>4</v>
      </c>
      <c r="F5" s="45" t="n">
        <v>5</v>
      </c>
      <c r="G5" s="46">
        <f>E4*F4</f>
        <v/>
      </c>
      <c r="H5" s="46">
        <f>IF(G4&gt;=20,"Critical",IF(G4&gt;=15,"High",IF(G4&gt;=10,"Medium-High",IF(G4&gt;=5,"Medium","Low"))))</f>
        <v/>
      </c>
      <c r="I5" s="45" t="inlineStr">
        <is>
          <t>Treat (Mitigate)</t>
        </is>
      </c>
      <c r="J5" s="45" t="inlineStr">
        <is>
          <t>A.5.15 Access control; A.5.17 Authentication information; A.8.2 Privileged access rights; A.8.5 Secure authentication; A.8.24 Cryptography</t>
        </is>
      </c>
      <c r="K5" s="45" t="inlineStr">
        <is>
          <t>Protect (PR.AC, PR.DS)</t>
        </is>
      </c>
      <c r="L5" s="45" t="inlineStr">
        <is>
          <t>CISO / Cloud Platform Lead</t>
        </is>
      </c>
      <c r="M5" s="45" t="n">
        <v>2</v>
      </c>
      <c r="N5" s="45" t="n">
        <v>4</v>
      </c>
      <c r="O5" s="47">
        <f>M4*N4</f>
        <v/>
      </c>
      <c r="P5" s="47">
        <f>IF(O4&gt;=20,"Critical",IF(O4&gt;=15,"High",IF(O4&gt;=10,"Medium-High",IF(O4&gt;=5,"Medium","Low"))))</f>
        <v/>
      </c>
    </row>
    <row r="6" ht="94.5" customHeight="1" s="29">
      <c r="A6" s="44" t="inlineStr">
        <is>
          <t>R-02</t>
        </is>
      </c>
      <c r="B6" s="44" t="inlineStr">
        <is>
          <t>IAM misconfiguration granting excessive privileges</t>
        </is>
      </c>
      <c r="C6" s="45" t="inlineStr">
        <is>
          <t>Overly permissive IAM roles, wildcard actions, or forgotten break-glass accounts create paths to privilege escalation across the AWS Organization. A single misconfiguration could allow lateral movement to production RDS.</t>
        </is>
      </c>
      <c r="D6" s="45" t="inlineStr">
        <is>
          <t>AWS IAM Identity Layer</t>
        </is>
      </c>
      <c r="E6" s="45" t="n">
        <v>4</v>
      </c>
      <c r="F6" s="45" t="n">
        <v>5</v>
      </c>
      <c r="G6" s="46">
        <f>E5*F5</f>
        <v/>
      </c>
      <c r="H6" s="46">
        <f>IF(G5&gt;=20,"Critical",IF(G5&gt;=15,"High",IF(G5&gt;=10,"Medium-High",IF(G5&gt;=5,"Medium","Low"))))</f>
        <v/>
      </c>
      <c r="I6" s="45" t="inlineStr">
        <is>
          <t>Treat (Mitigate)</t>
        </is>
      </c>
      <c r="J6" s="45" t="inlineStr">
        <is>
          <t>A.5.15 Access control; A.5.16 Identity management; A.8.2 Privileged access rights; A.8.3 Information access restriction</t>
        </is>
      </c>
      <c r="K6" s="45" t="inlineStr">
        <is>
          <t>Protect (PR.AC); Detect (DE.CM)</t>
        </is>
      </c>
      <c r="L6" s="45" t="inlineStr">
        <is>
          <t>Cloud Platform Lead</t>
        </is>
      </c>
      <c r="M6" s="45" t="n">
        <v>1</v>
      </c>
      <c r="N6" s="45" t="n">
        <v>5</v>
      </c>
      <c r="O6" s="47">
        <f>M5*N5</f>
        <v/>
      </c>
      <c r="P6" s="47">
        <f>IF(O5&gt;=20,"Critical",IF(O5&gt;=15,"High",IF(O5&gt;=10,"Medium-High",IF(O5&gt;=5,"Medium","Low"))))</f>
        <v/>
      </c>
    </row>
    <row r="7" ht="94.5" customHeight="1" s="29">
      <c r="A7" s="44" t="inlineStr">
        <is>
          <t>R-03</t>
        </is>
      </c>
      <c r="B7" s="44" t="inlineStr">
        <is>
          <t>Data corruption during migration pipeline</t>
        </is>
      </c>
      <c r="C7" s="45" t="inlineStr">
        <is>
          <t>DMS replication lag, schema mismatch, or network interruption causes data integrity loss (dropped rows, truncated fields) during the cutover window. Affects referential integrity and downstream reporting.</t>
        </is>
      </c>
      <c r="D7" s="45" t="inlineStr">
        <is>
          <t>DMS Migration Pipeline; Customer PII DB</t>
        </is>
      </c>
      <c r="E7" s="45" t="n">
        <v>3</v>
      </c>
      <c r="F7" s="45" t="n">
        <v>5</v>
      </c>
      <c r="G7" s="48">
        <f>E6*F6</f>
        <v/>
      </c>
      <c r="H7" s="48">
        <f>IF(G6&gt;=20,"Critical",IF(G6&gt;=15,"High",IF(G6&gt;=10,"Medium-High",IF(G6&gt;=5,"Medium","Low"))))</f>
        <v/>
      </c>
      <c r="I7" s="45" t="inlineStr">
        <is>
          <t>Treat (Mitigate)</t>
        </is>
      </c>
      <c r="J7" s="45" t="inlineStr">
        <is>
          <t>A.8.13 Information backup; A.8.14 Redundancy; A.5.30 ICT readiness for BC; A.8.24 Cryptography (integrity)</t>
        </is>
      </c>
      <c r="K7" s="45" t="inlineStr">
        <is>
          <t>Protect (PR.DS); Recover (RC.RP)</t>
        </is>
      </c>
      <c r="L7" s="45" t="inlineStr">
        <is>
          <t>DBA / Cloud Platform Lead</t>
        </is>
      </c>
      <c r="M7" s="45" t="n">
        <v>2</v>
      </c>
      <c r="N7" s="45" t="n">
        <v>3</v>
      </c>
      <c r="O7" s="47">
        <f>M6*N6</f>
        <v/>
      </c>
      <c r="P7" s="47">
        <f>IF(O6&gt;=20,"Critical",IF(O6&gt;=15,"High",IF(O6&gt;=10,"Medium-High",IF(O6&gt;=5,"Medium","Low"))))</f>
        <v/>
      </c>
    </row>
    <row r="8" ht="94.5" customHeight="1" s="29">
      <c r="A8" s="44" t="inlineStr">
        <is>
          <t>R-04</t>
        </is>
      </c>
      <c r="B8" s="44" t="inlineStr">
        <is>
          <t>Data residency violation under GDPR / customer DPAs</t>
        </is>
      </c>
      <c r="C8" s="45" t="inlineStr">
        <is>
          <t>Default AWS multi-region replication or misconfigured backup destinations send EU customer PII outside approved regions, violating GDPR Article 44-49 and contractual DPA terms. Leads to regulatory fines and customer contract breach.</t>
        </is>
      </c>
      <c r="D8" s="45" t="inlineStr">
        <is>
          <t>Customer PII Database; Backup Snapshots</t>
        </is>
      </c>
      <c r="E8" s="45" t="n">
        <v>3</v>
      </c>
      <c r="F8" s="45" t="n">
        <v>4</v>
      </c>
      <c r="G8" s="49">
        <f>E7*F7</f>
        <v/>
      </c>
      <c r="H8" s="49">
        <f>IF(G7&gt;=20,"Critical",IF(G7&gt;=15,"High",IF(G7&gt;=10,"Medium-High",IF(G7&gt;=5,"Medium","Low"))))</f>
        <v/>
      </c>
      <c r="I8" s="45" t="inlineStr">
        <is>
          <t>Treat (Mitigate)</t>
        </is>
      </c>
      <c r="J8" s="45" t="inlineStr">
        <is>
          <t>A.5.31 Legal/regulatory requirements; A.5.34 Privacy and protection of PII; A.5.23 Information security for cloud services; A.8.10 Information deletion</t>
        </is>
      </c>
      <c r="K8" s="45" t="inlineStr">
        <is>
          <t>Identify (ID.GV); Protect (PR.DS)</t>
        </is>
      </c>
      <c r="L8" s="45" t="inlineStr">
        <is>
          <t>DPO / Legal</t>
        </is>
      </c>
      <c r="M8" s="45" t="n">
        <v>2</v>
      </c>
      <c r="N8" s="45" t="n">
        <v>2</v>
      </c>
      <c r="O8" s="50">
        <f>M7*N7</f>
        <v/>
      </c>
      <c r="P8" s="50">
        <f>IF(O7&gt;=20,"Critical",IF(O7&gt;=15,"High",IF(O7&gt;=10,"Medium-High",IF(O7&gt;=5,"Medium","Low"))))</f>
        <v/>
      </c>
    </row>
    <row r="9" ht="94.5" customHeight="1" s="29">
      <c r="A9" s="44" t="inlineStr">
        <is>
          <t>R-05</t>
        </is>
      </c>
      <c r="B9" s="44" t="inlineStr">
        <is>
          <t>Service disruption during cutover window</t>
        </is>
      </c>
      <c r="C9" s="45" t="inlineStr">
        <is>
          <t>Cutover fails or exceeds planned 4-hour window; customers experience outage exceeding SLA. Causes revenue loss, SLA credit obligations, and reputational damage. Rollback path exists but adds 6 more hours of downtime.</t>
        </is>
      </c>
      <c r="D9" s="45" t="inlineStr">
        <is>
          <t>Customer-facing SaaS Platform</t>
        </is>
      </c>
      <c r="E9" s="45" t="n">
        <v>3</v>
      </c>
      <c r="F9" s="45" t="n">
        <v>4</v>
      </c>
      <c r="G9" s="49">
        <f>E8*F8</f>
        <v/>
      </c>
      <c r="H9" s="49">
        <f>IF(G8&gt;=20,"Critical",IF(G8&gt;=15,"High",IF(G8&gt;=10,"Medium-High",IF(G8&gt;=5,"Medium","Low"))))</f>
        <v/>
      </c>
      <c r="I9" s="45" t="inlineStr">
        <is>
          <t>Treat (Mitigate)</t>
        </is>
      </c>
      <c r="J9" s="45" t="inlineStr">
        <is>
          <t>A.5.30 ICT readiness for BC; A.8.14 Redundancy; A.8.13 Information backup; A.5.24 Incident management</t>
        </is>
      </c>
      <c r="K9" s="45" t="inlineStr">
        <is>
          <t>Respond (RS.RP); Recover (RC.RP)</t>
        </is>
      </c>
      <c r="L9" s="45" t="inlineStr">
        <is>
          <t>VP Engineering</t>
        </is>
      </c>
      <c r="M9" s="45" t="n">
        <v>2</v>
      </c>
      <c r="N9" s="45" t="n">
        <v>2</v>
      </c>
      <c r="O9" s="50">
        <f>M8*N8</f>
        <v/>
      </c>
      <c r="P9" s="50">
        <f>IF(O8&gt;=20,"Critical",IF(O8&gt;=15,"High",IF(O8&gt;=10,"Medium-High",IF(O8&gt;=5,"Medium","Low"))))</f>
        <v/>
      </c>
    </row>
    <row r="10" ht="94.5" customHeight="1" s="29">
      <c r="A10" s="44" t="inlineStr">
        <is>
          <t>R-06</t>
        </is>
      </c>
      <c r="B10" s="44" t="inlineStr">
        <is>
          <t>Insufficient logging and monitoring coverage post-migration</t>
        </is>
      </c>
      <c r="C10" s="45" t="inlineStr">
        <is>
          <t>Gaps in CloudTrail, VPC Flow Log, or application log collection during transition mean security events in the new environment go undetected. First 90 days post-cutover are highest risk.</t>
        </is>
      </c>
      <c r="D10" s="45" t="inlineStr">
        <is>
          <t>AWS Production Environment</t>
        </is>
      </c>
      <c r="E10" s="45" t="n">
        <v>3</v>
      </c>
      <c r="F10" s="45" t="n">
        <v>4</v>
      </c>
      <c r="G10" s="49">
        <f>E9*F9</f>
        <v/>
      </c>
      <c r="H10" s="49">
        <f>IF(G9&gt;=20,"Critical",IF(G9&gt;=15,"High",IF(G9&gt;=10,"Medium-High",IF(G9&gt;=5,"Medium","Low"))))</f>
        <v/>
      </c>
      <c r="I10" s="45" t="inlineStr">
        <is>
          <t>Treat (Mitigate)</t>
        </is>
      </c>
      <c r="J10" s="45" t="inlineStr">
        <is>
          <t>A.8.15 Logging; A.8.16 Monitoring activities; A.5.25 Assessment of security events</t>
        </is>
      </c>
      <c r="K10" s="45" t="inlineStr">
        <is>
          <t>Detect (DE.CM, DE.AE)</t>
        </is>
      </c>
      <c r="L10" s="45" t="inlineStr">
        <is>
          <t>SRE / Cloud Platform Lead</t>
        </is>
      </c>
      <c r="M10" s="45" t="n">
        <v>2</v>
      </c>
      <c r="N10" s="45" t="n">
        <v>3</v>
      </c>
      <c r="O10" s="47">
        <f>M9*N9</f>
        <v/>
      </c>
      <c r="P10" s="47">
        <f>IF(O9&gt;=20,"Critical",IF(O9&gt;=15,"High",IF(O9&gt;=10,"Medium-High",IF(O9&gt;=5,"Medium","Low"))))</f>
        <v/>
      </c>
    </row>
    <row r="11">
      <c r="A11" s="44" t="inlineStr">
        <is>
          <t>R-07</t>
        </is>
      </c>
      <c r="B11" s="44" t="inlineStr">
        <is>
          <t>Vendor concentration and supply-chain dependency on AWS</t>
        </is>
      </c>
      <c r="C11" s="45" t="inlineStr">
        <is>
          <t>Over-reliance on AWS creates single-provider risk; regional outage or policy change could disrupt service. Exit cost and portability are limited.</t>
        </is>
      </c>
      <c r="D11" s="45" t="inlineStr">
        <is>
          <t>AWS Provider</t>
        </is>
      </c>
      <c r="E11" s="45" t="n">
        <v>2</v>
      </c>
      <c r="F11" s="45" t="n">
        <v>4</v>
      </c>
      <c r="G11" s="47">
        <f>E10*F10</f>
        <v/>
      </c>
      <c r="H11" s="47">
        <f>IF(G10&gt;=20,"Critical",IF(G10&gt;=15,"High",IF(G10&gt;=10,"Medium-High",IF(G10&gt;=5,"Medium","Low"))))</f>
        <v/>
      </c>
      <c r="I11" s="45" t="inlineStr">
        <is>
          <t>Accept (with monitoring)</t>
        </is>
      </c>
      <c r="J11" s="45" t="inlineStr">
        <is>
          <t>A.5.19 Supplier relationships; A.5.21 ICT supply chain; A.5.22 Monitoring of supplier services</t>
        </is>
      </c>
      <c r="K11" s="45" t="inlineStr">
        <is>
          <t>Identify (ID.SC)</t>
        </is>
      </c>
      <c r="L11" s="45" t="inlineStr">
        <is>
          <t>CISO / Legal</t>
        </is>
      </c>
      <c r="M11" s="45" t="n">
        <v>2</v>
      </c>
      <c r="N11" s="45" t="n">
        <v>4</v>
      </c>
      <c r="O11" s="47">
        <f>M10*N10</f>
        <v/>
      </c>
      <c r="P11" s="47">
        <f>IF(O10&gt;=20,"Critical",IF(O10&gt;=15,"High",IF(O10&gt;=10,"Medium-High",IF(O10&gt;=5,"Medium","Low"))))</f>
        <v/>
      </c>
    </row>
  </sheetData>
  <sheetProtection selectLockedCells="0" selectUnlockedCells="0" sheet="1" objects="0" insertRows="0" insertHyperlinks="0" autoFilter="1" scenarios="0" formatColumns="0" deleteColumns="0" insertColumns="0" pivotTables="0" deleteRows="0" formatCells="0" formatRows="0" sort="1" password="96FA"/>
  <mergeCells count="1">
    <mergeCell ref="A1:P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&amp;C&amp;10 &amp;KC2410C&amp;B&amp;"Calibri"&amp;10&amp;K592816Tejaswini Dondeti — Portfolio Sample</oddHeader>
    <oddFooter/>
    <evenHeader>&amp;C&amp;10 &amp;KC2410C&amp;B&amp;"Calibri"&amp;10&amp;K592816Tejaswini Dondeti — Portfolio Sample</evenHeader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6" customWidth="1" style="28" min="1" max="7"/>
  </cols>
  <sheetData>
    <row r="1" ht="30" customHeight="1" s="29">
      <c r="A1" s="30" t="inlineStr">
        <is>
          <t>Tejaswini Dondeti — Portfolio Sample  •  tejaswinidondeti.github.io  •  Read-only preview — please do not edit or redistribute</t>
        </is>
      </c>
    </row>
    <row r="2">
      <c r="A2" s="32" t="inlineStr">
        <is>
          <t>5x5 Risk Heat Map — Inherent Risk</t>
        </is>
      </c>
    </row>
    <row r="3" ht="15" customHeight="1" s="29"/>
    <row r="4" ht="26.85" customHeight="1" s="29">
      <c r="A4" s="51" t="inlineStr">
        <is>
          <t>Likelihood →</t>
        </is>
      </c>
    </row>
    <row r="5" ht="51.75" customHeight="1" s="29">
      <c r="C5" s="43" t="inlineStr">
        <is>
          <t>1 - Rare</t>
        </is>
      </c>
      <c r="D5" s="43" t="inlineStr">
        <is>
          <t>2 - Unlikely</t>
        </is>
      </c>
      <c r="E5" s="43" t="inlineStr">
        <is>
          <t>3 - Possible</t>
        </is>
      </c>
      <c r="F5" s="43" t="inlineStr">
        <is>
          <t>4 - Likely</t>
        </is>
      </c>
      <c r="G5" s="43" t="inlineStr">
        <is>
          <t>5 - Almost Certain</t>
        </is>
      </c>
    </row>
    <row r="6" ht="51.75" customHeight="1" s="29">
      <c r="B6" s="43" t="inlineStr">
        <is>
          <t>5 - Catastrophic</t>
        </is>
      </c>
      <c r="C6" s="52" t="inlineStr">
        <is>
          <t>5</t>
        </is>
      </c>
      <c r="D6" s="53" t="inlineStr">
        <is>
          <t>10</t>
        </is>
      </c>
      <c r="E6" s="48" t="inlineStr">
        <is>
          <t>R-03
(score 15)</t>
        </is>
      </c>
      <c r="F6" s="46" t="inlineStr">
        <is>
          <t>R-01
R-02
(score 20)</t>
        </is>
      </c>
      <c r="G6" s="54" t="inlineStr">
        <is>
          <t>25</t>
        </is>
      </c>
    </row>
    <row r="7" ht="51.75" customHeight="1" s="29">
      <c r="B7" s="43" t="inlineStr">
        <is>
          <t>4 - Major</t>
        </is>
      </c>
      <c r="C7" s="55" t="inlineStr">
        <is>
          <t>4</t>
        </is>
      </c>
      <c r="D7" s="47" t="inlineStr">
        <is>
          <t>R-07
(score 8)</t>
        </is>
      </c>
      <c r="E7" s="49" t="inlineStr">
        <is>
          <t>R-04
R-05
R-06
(score 12)</t>
        </is>
      </c>
      <c r="F7" s="56" t="inlineStr">
        <is>
          <t>16</t>
        </is>
      </c>
      <c r="G7" s="54" t="inlineStr">
        <is>
          <t>20</t>
        </is>
      </c>
    </row>
    <row r="8" ht="51.75" customHeight="1" s="29">
      <c r="B8" s="43" t="inlineStr">
        <is>
          <t>3 - Moderate</t>
        </is>
      </c>
      <c r="C8" s="55" t="inlineStr">
        <is>
          <t>3</t>
        </is>
      </c>
      <c r="D8" s="52" t="inlineStr">
        <is>
          <t>6</t>
        </is>
      </c>
      <c r="E8" s="52" t="inlineStr">
        <is>
          <t>9</t>
        </is>
      </c>
      <c r="F8" s="53" t="inlineStr">
        <is>
          <t>12</t>
        </is>
      </c>
      <c r="G8" s="56" t="inlineStr">
        <is>
          <t>15</t>
        </is>
      </c>
    </row>
    <row r="9" ht="51.75" customHeight="1" s="29">
      <c r="A9" s="51" t="inlineStr">
        <is>
          <t>↑ Impact</t>
        </is>
      </c>
      <c r="B9" s="43" t="inlineStr">
        <is>
          <t>2 - Minor</t>
        </is>
      </c>
      <c r="C9" s="55" t="inlineStr">
        <is>
          <t>2</t>
        </is>
      </c>
      <c r="D9" s="55" t="inlineStr">
        <is>
          <t>4</t>
        </is>
      </c>
      <c r="E9" s="52" t="inlineStr">
        <is>
          <t>6</t>
        </is>
      </c>
      <c r="F9" s="52" t="inlineStr">
        <is>
          <t>8</t>
        </is>
      </c>
      <c r="G9" s="53" t="inlineStr">
        <is>
          <t>10</t>
        </is>
      </c>
    </row>
    <row r="10">
      <c r="B10" s="43" t="inlineStr">
        <is>
          <t>1 - Negligible</t>
        </is>
      </c>
      <c r="C10" s="55" t="inlineStr">
        <is>
          <t>1</t>
        </is>
      </c>
      <c r="D10" s="55" t="inlineStr">
        <is>
          <t>2</t>
        </is>
      </c>
      <c r="E10" s="55" t="inlineStr">
        <is>
          <t>3</t>
        </is>
      </c>
      <c r="F10" s="55" t="inlineStr">
        <is>
          <t>4</t>
        </is>
      </c>
      <c r="G10" s="52" t="inlineStr">
        <is>
          <t>5</t>
        </is>
      </c>
    </row>
    <row r="11" ht="15" customHeight="1" s="29"/>
    <row r="12" ht="15" customHeight="1" s="29">
      <c r="B12" s="34" t="inlineStr">
        <is>
          <t>Legend</t>
        </is>
      </c>
    </row>
    <row r="13" ht="15" customHeight="1" s="29">
      <c r="B13" s="46" t="inlineStr">
        <is>
          <t>Critical (20-25)</t>
        </is>
      </c>
    </row>
    <row r="14" ht="26.85" customHeight="1" s="29">
      <c r="B14" s="48" t="inlineStr">
        <is>
          <t>High (15-19)</t>
        </is>
      </c>
    </row>
    <row r="15" ht="15" customHeight="1" s="29">
      <c r="B15" s="49" t="inlineStr">
        <is>
          <t>Medium-High (10-14)</t>
        </is>
      </c>
    </row>
    <row r="16" ht="15" customHeight="1" s="29">
      <c r="B16" s="47" t="inlineStr">
        <is>
          <t>Medium (5-9)</t>
        </is>
      </c>
    </row>
    <row r="17">
      <c r="B17" s="50" t="inlineStr">
        <is>
          <t>Low (1-4)</t>
        </is>
      </c>
    </row>
  </sheetData>
  <sheetProtection selectLockedCells="0" selectUnlockedCells="0" sheet="1" objects="0" insertRows="0" insertHyperlinks="0" autoFilter="1" scenarios="0" formatColumns="0" deleteColumns="0" insertColumns="0" pivotTables="0" deleteRows="0" formatCells="0" formatRows="0" sort="1" password="96FA"/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&amp;C&amp;10 &amp;KC2410C&amp;B&amp;"Calibri"&amp;10&amp;K592816Tejaswini Dondeti — Portfolio Sample</oddHeader>
    <oddFooter/>
    <evenHeader>&amp;C&amp;10 &amp;KC2410C&amp;B&amp;"Calibri"&amp;10&amp;K592816Tejaswini Dondeti — Portfolio Sample</evenHeader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6" customWidth="1" style="28" min="1" max="7"/>
  </cols>
  <sheetData>
    <row r="1" ht="30" customHeight="1" s="29">
      <c r="A1" s="30" t="inlineStr">
        <is>
          <t>Tejaswini Dondeti — Portfolio Sample  •  tejaswinidondeti.github.io  •  Read-only preview — please do not edit or redistribute</t>
        </is>
      </c>
    </row>
    <row r="2">
      <c r="A2" s="32" t="inlineStr">
        <is>
          <t>5x5 Risk Heat Map — Residual Risk (post-treatment)</t>
        </is>
      </c>
    </row>
    <row r="3" ht="15" customHeight="1" s="29"/>
    <row r="4" ht="26.85" customHeight="1" s="29">
      <c r="A4" s="51" t="inlineStr">
        <is>
          <t>Likelihood →</t>
        </is>
      </c>
    </row>
    <row r="5" ht="51.75" customHeight="1" s="29">
      <c r="C5" s="43" t="inlineStr">
        <is>
          <t>1 - Rare</t>
        </is>
      </c>
      <c r="D5" s="43" t="inlineStr">
        <is>
          <t>2 - Unlikely</t>
        </is>
      </c>
      <c r="E5" s="43" t="inlineStr">
        <is>
          <t>3 - Possible</t>
        </is>
      </c>
      <c r="F5" s="43" t="inlineStr">
        <is>
          <t>4 - Likely</t>
        </is>
      </c>
      <c r="G5" s="43" t="inlineStr">
        <is>
          <t>5 - Almost Certain</t>
        </is>
      </c>
    </row>
    <row r="6" ht="51.75" customHeight="1" s="29">
      <c r="B6" s="43" t="inlineStr">
        <is>
          <t>5 - Catastrophic</t>
        </is>
      </c>
      <c r="C6" s="47" t="inlineStr">
        <is>
          <t>R-02
(score 5)</t>
        </is>
      </c>
      <c r="D6" s="53" t="inlineStr">
        <is>
          <t>10</t>
        </is>
      </c>
      <c r="E6" s="56" t="inlineStr">
        <is>
          <t>15</t>
        </is>
      </c>
      <c r="F6" s="54" t="inlineStr">
        <is>
          <t>20</t>
        </is>
      </c>
      <c r="G6" s="54" t="inlineStr">
        <is>
          <t>25</t>
        </is>
      </c>
    </row>
    <row r="7" ht="51.75" customHeight="1" s="29">
      <c r="B7" s="43" t="inlineStr">
        <is>
          <t>4 - Major</t>
        </is>
      </c>
      <c r="C7" s="55" t="inlineStr">
        <is>
          <t>4</t>
        </is>
      </c>
      <c r="D7" s="47" t="inlineStr">
        <is>
          <t>R-01
R-07
(score 8)</t>
        </is>
      </c>
      <c r="E7" s="53" t="inlineStr">
        <is>
          <t>12</t>
        </is>
      </c>
      <c r="F7" s="56" t="inlineStr">
        <is>
          <t>16</t>
        </is>
      </c>
      <c r="G7" s="54" t="inlineStr">
        <is>
          <t>20</t>
        </is>
      </c>
    </row>
    <row r="8" ht="51.75" customHeight="1" s="29">
      <c r="B8" s="43" t="inlineStr">
        <is>
          <t>3 - Moderate</t>
        </is>
      </c>
      <c r="C8" s="55" t="inlineStr">
        <is>
          <t>3</t>
        </is>
      </c>
      <c r="D8" s="47" t="inlineStr">
        <is>
          <t>R-03
R-06
(score 6)</t>
        </is>
      </c>
      <c r="E8" s="52" t="inlineStr">
        <is>
          <t>9</t>
        </is>
      </c>
      <c r="F8" s="53" t="inlineStr">
        <is>
          <t>12</t>
        </is>
      </c>
      <c r="G8" s="56" t="inlineStr">
        <is>
          <t>15</t>
        </is>
      </c>
    </row>
    <row r="9" ht="51.75" customHeight="1" s="29">
      <c r="A9" s="51" t="inlineStr">
        <is>
          <t>↑ Impact</t>
        </is>
      </c>
      <c r="B9" s="43" t="inlineStr">
        <is>
          <t>2 - Minor</t>
        </is>
      </c>
      <c r="C9" s="55" t="inlineStr">
        <is>
          <t>2</t>
        </is>
      </c>
      <c r="D9" s="50" t="inlineStr">
        <is>
          <t>R-04
R-05
(score 4)</t>
        </is>
      </c>
      <c r="E9" s="52" t="inlineStr">
        <is>
          <t>6</t>
        </is>
      </c>
      <c r="F9" s="52" t="inlineStr">
        <is>
          <t>8</t>
        </is>
      </c>
      <c r="G9" s="53" t="inlineStr">
        <is>
          <t>10</t>
        </is>
      </c>
    </row>
    <row r="10">
      <c r="B10" s="43" t="inlineStr">
        <is>
          <t>1 - Negligible</t>
        </is>
      </c>
      <c r="C10" s="55" t="inlineStr">
        <is>
          <t>1</t>
        </is>
      </c>
      <c r="D10" s="55" t="inlineStr">
        <is>
          <t>2</t>
        </is>
      </c>
      <c r="E10" s="55" t="inlineStr">
        <is>
          <t>3</t>
        </is>
      </c>
      <c r="F10" s="55" t="inlineStr">
        <is>
          <t>4</t>
        </is>
      </c>
      <c r="G10" s="52" t="inlineStr">
        <is>
          <t>5</t>
        </is>
      </c>
    </row>
    <row r="11" ht="15" customHeight="1" s="29"/>
    <row r="12" ht="15" customHeight="1" s="29">
      <c r="B12" s="34" t="inlineStr">
        <is>
          <t>Legend</t>
        </is>
      </c>
    </row>
    <row r="13" ht="15" customHeight="1" s="29">
      <c r="B13" s="46" t="inlineStr">
        <is>
          <t>Critical (20-25)</t>
        </is>
      </c>
    </row>
    <row r="14" ht="26.85" customHeight="1" s="29">
      <c r="B14" s="48" t="inlineStr">
        <is>
          <t>High (15-19)</t>
        </is>
      </c>
    </row>
    <row r="15" ht="15" customHeight="1" s="29">
      <c r="B15" s="49" t="inlineStr">
        <is>
          <t>Medium-High (10-14)</t>
        </is>
      </c>
    </row>
    <row r="16" ht="15" customHeight="1" s="29">
      <c r="B16" s="47" t="inlineStr">
        <is>
          <t>Medium (5-9)</t>
        </is>
      </c>
    </row>
    <row r="17">
      <c r="B17" s="50" t="inlineStr">
        <is>
          <t>Low (1-4)</t>
        </is>
      </c>
    </row>
  </sheetData>
  <sheetProtection selectLockedCells="0" selectUnlockedCells="0" sheet="1" objects="0" insertRows="0" insertHyperlinks="0" autoFilter="1" scenarios="0" formatColumns="0" deleteColumns="0" insertColumns="0" pivotTables="0" deleteRows="0" formatCells="0" formatRows="0" sort="1" password="96FA"/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&amp;C&amp;10 &amp;KC2410C&amp;B&amp;"Calibri"&amp;10&amp;K592816Tejaswini Dondeti — Portfolio Sample</oddHeader>
    <oddFooter/>
    <evenHeader>&amp;C&amp;10 &amp;KC2410C&amp;B&amp;"Calibri"&amp;10&amp;K592816Tejaswini Dondeti — Portfolio Sample</evenHeader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28" min="1" max="1"/>
    <col width="18" customWidth="1" style="28" min="2" max="2"/>
    <col width="22" customWidth="1" style="28" min="3" max="3"/>
    <col width="70" customWidth="1" style="28" min="4" max="4"/>
  </cols>
  <sheetData>
    <row r="1" ht="30" customHeight="1" s="29">
      <c r="A1" s="30" t="inlineStr">
        <is>
          <t>Tejaswini Dondeti — Portfolio Sample  •  tejaswinidondeti.github.io  •  Read-only preview — please do not edit or redistribute</t>
        </is>
      </c>
    </row>
    <row r="2">
      <c r="A2" s="32" t="inlineStr">
        <is>
          <t>Likelihood and Impact Scoring Criteria</t>
        </is>
      </c>
    </row>
    <row r="3" ht="15" customHeight="1" s="29"/>
    <row r="4" ht="15" customHeight="1" s="29">
      <c r="A4" s="36" t="inlineStr">
        <is>
          <t>Likelihood</t>
        </is>
      </c>
    </row>
    <row r="5" ht="15" customHeight="1" s="29">
      <c r="A5" s="43" t="inlineStr">
        <is>
          <t>Rating</t>
        </is>
      </c>
      <c r="B5" s="43" t="inlineStr">
        <is>
          <t>Label</t>
        </is>
      </c>
      <c r="C5" s="43" t="inlineStr">
        <is>
          <t>Annual Probability</t>
        </is>
      </c>
      <c r="D5" s="43" t="inlineStr">
        <is>
          <t>Description</t>
        </is>
      </c>
    </row>
    <row r="6" ht="26.85" customHeight="1" s="29">
      <c r="A6" s="45" t="n">
        <v>1</v>
      </c>
      <c r="B6" s="45" t="inlineStr">
        <is>
          <t>Rare</t>
        </is>
      </c>
      <c r="C6" s="45" t="inlineStr">
        <is>
          <t>&lt; 5%</t>
        </is>
      </c>
      <c r="D6" s="45" t="inlineStr">
        <is>
          <t>Event unlikely to occur during migration phase; no known precedent.</t>
        </is>
      </c>
    </row>
    <row r="7" ht="15" customHeight="1" s="29">
      <c r="A7" s="45" t="n">
        <v>2</v>
      </c>
      <c r="B7" s="45" t="inlineStr">
        <is>
          <t>Unlikely</t>
        </is>
      </c>
      <c r="C7" s="45" t="inlineStr">
        <is>
          <t>5–25%</t>
        </is>
      </c>
      <c r="D7" s="45" t="inlineStr">
        <is>
          <t>Event could occur but requires coincidence of factors or motivated attacker.</t>
        </is>
      </c>
    </row>
    <row r="8" ht="26.85" customHeight="1" s="29">
      <c r="A8" s="45" t="n">
        <v>3</v>
      </c>
      <c r="B8" s="45" t="inlineStr">
        <is>
          <t>Possible</t>
        </is>
      </c>
      <c r="C8" s="45" t="inlineStr">
        <is>
          <t>25–50%</t>
        </is>
      </c>
      <c r="D8" s="45" t="inlineStr">
        <is>
          <t>Event has occurred in comparable organizations; should be planned for.</t>
        </is>
      </c>
    </row>
    <row r="9" ht="15" customHeight="1" s="29">
      <c r="A9" s="45" t="n">
        <v>4</v>
      </c>
      <c r="B9" s="45" t="inlineStr">
        <is>
          <t>Likely</t>
        </is>
      </c>
      <c r="C9" s="45" t="inlineStr">
        <is>
          <t>50–75%</t>
        </is>
      </c>
      <c r="D9" s="45" t="inlineStr">
        <is>
          <t>Event has occurred previously at TechStart or is common in cloud migrations.</t>
        </is>
      </c>
    </row>
    <row r="10">
      <c r="A10" s="45" t="n">
        <v>5</v>
      </c>
      <c r="B10" s="45" t="inlineStr">
        <is>
          <t>Almost Certain</t>
        </is>
      </c>
      <c r="C10" s="45" t="inlineStr">
        <is>
          <t>&gt; 75%</t>
        </is>
      </c>
      <c r="D10" s="45" t="inlineStr">
        <is>
          <t>Event is expected to occur without active control intervention.</t>
        </is>
      </c>
    </row>
    <row r="11" ht="15" customHeight="1" s="29"/>
    <row r="12" ht="15" customHeight="1" s="29">
      <c r="A12" s="36" t="inlineStr">
        <is>
          <t>Impact</t>
        </is>
      </c>
    </row>
    <row r="13" ht="15" customHeight="1" s="29">
      <c r="A13" s="43" t="inlineStr">
        <is>
          <t>Rating</t>
        </is>
      </c>
      <c r="B13" s="43" t="inlineStr">
        <is>
          <t>Label</t>
        </is>
      </c>
      <c r="C13" s="43" t="inlineStr">
        <is>
          <t>Financial</t>
        </is>
      </c>
      <c r="D13" s="43" t="inlineStr">
        <is>
          <t>Operational / Reputational / Regulatory</t>
        </is>
      </c>
    </row>
    <row r="14" ht="26.85" customHeight="1" s="29">
      <c r="A14" s="45" t="n">
        <v>1</v>
      </c>
      <c r="B14" s="45" t="inlineStr">
        <is>
          <t>Negligible</t>
        </is>
      </c>
      <c r="C14" s="45" t="inlineStr">
        <is>
          <t>&lt; $10K</t>
        </is>
      </c>
      <c r="D14" s="45" t="inlineStr">
        <is>
          <t>Minimal disruption; internal only; no regulatory or customer impact.</t>
        </is>
      </c>
    </row>
    <row r="15" ht="15" customHeight="1" s="29">
      <c r="A15" s="45" t="n">
        <v>2</v>
      </c>
      <c r="B15" s="45" t="inlineStr">
        <is>
          <t>Minor</t>
        </is>
      </c>
      <c r="C15" s="45" t="inlineStr">
        <is>
          <t>$10K–$100K</t>
        </is>
      </c>
      <c r="D15" s="45" t="inlineStr">
        <is>
          <t>Short disruption (&lt; 1h); minor customer inconvenience; internal remediation.</t>
        </is>
      </c>
    </row>
    <row r="16" ht="26.85" customHeight="1" s="29">
      <c r="A16" s="45" t="n">
        <v>3</v>
      </c>
      <c r="B16" s="45" t="inlineStr">
        <is>
          <t>Moderate</t>
        </is>
      </c>
      <c r="C16" s="45" t="inlineStr">
        <is>
          <t>$100K–$1M</t>
        </is>
      </c>
      <c r="D16" s="45" t="inlineStr">
        <is>
          <t>Service degradation 1–4h; customer complaints; possible SLA credits.</t>
        </is>
      </c>
    </row>
    <row r="17" ht="26.85" customHeight="1" s="29">
      <c r="A17" s="45" t="n">
        <v>4</v>
      </c>
      <c r="B17" s="45" t="inlineStr">
        <is>
          <t>Major</t>
        </is>
      </c>
      <c r="C17" s="45" t="inlineStr">
        <is>
          <t>$1M–$10M</t>
        </is>
      </c>
      <c r="D17" s="45" t="inlineStr">
        <is>
          <t>Outage &gt; 4h; significant customer contract exposure; regulator notification; media coverage.</t>
        </is>
      </c>
    </row>
    <row r="18">
      <c r="A18" s="45" t="n">
        <v>5</v>
      </c>
      <c r="B18" s="45" t="inlineStr">
        <is>
          <t>Catastrophic</t>
        </is>
      </c>
      <c r="C18" s="45" t="inlineStr">
        <is>
          <t>&gt; $10M</t>
        </is>
      </c>
      <c r="D18" s="45" t="inlineStr">
        <is>
          <t>Mass data breach; regulatory fines (GDPR up to 4% global revenue); loss of customer trust; existential threat.</t>
        </is>
      </c>
    </row>
  </sheetData>
  <sheetProtection selectLockedCells="0" selectUnlockedCells="0" sheet="1" objects="0" insertRows="0" insertHyperlinks="0" autoFilter="1" scenarios="0" formatColumns="0" deleteColumns="0" insertColumns="0" pivotTables="0" deleteRows="0" formatCells="0" formatRows="0" sort="1" password="96FA"/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&amp;C&amp;10 &amp;KC2410C&amp;B&amp;"Calibri"&amp;10&amp;K592816Tejaswini Dondeti — Portfolio Sample</oddHeader>
    <oddFooter/>
    <evenHeader>&amp;C&amp;10 &amp;KC2410C&amp;B&amp;"Calibri"&amp;10&amp;K592816Tejaswini Dondeti — Portfolio Sample</evenHeader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2026-04-21T22:03:32Z</dcterms:created>
  <dcterms:modified xmlns:dcterms="http://purl.org/dc/terms/" xmlns:xsi="http://www.w3.org/2001/XMLSchema-instance" xsi:type="dcterms:W3CDTF">2026-04-21T23:13:57Z</dcterms:modified>
  <cp:revision>0</cp:revision>
</cp:coreProperties>
</file>