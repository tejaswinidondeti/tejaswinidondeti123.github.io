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96FA" lockStructure="1" lockWindows="0"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By Ris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8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12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11"/>
    </font>
    <font>
      <name val="Calibri"/>
      <b val="1"/>
      <i val="1"/>
      <color rgb="00C2410C"/>
      <sz val="10"/>
    </font>
  </fonts>
  <fills count="11">
    <fill>
      <patternFill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FE699"/>
        <bgColor rgb="FFFFCC99"/>
      </patternFill>
    </fill>
    <fill>
      <patternFill patternType="solid">
        <fgColor rgb="FFFF6666"/>
        <bgColor rgb="FFFF6600"/>
      </patternFill>
    </fill>
    <fill>
      <patternFill patternType="solid">
        <fgColor rgb="FFC6EFCE"/>
        <bgColor rgb="FFD9D9D9"/>
      </patternFill>
    </fill>
    <fill>
      <patternFill patternType="solid">
        <fgColor rgb="FF548235"/>
        <bgColor rgb="FF339966"/>
      </patternFill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1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29" min="1" max="1"/>
    <col width="90" customWidth="1" style="29" min="2" max="2"/>
  </cols>
  <sheetData>
    <row r="1" ht="30" customHeight="1" s="30">
      <c r="A1" s="31" t="inlineStr">
        <is>
          <t>Tejaswini Dondeti — Portfolio Sample  •  tejaswinidondeti.github.io  •  Read-only preview — please do not edit or redistribute</t>
        </is>
      </c>
    </row>
    <row r="2" ht="17.35" customHeight="1" s="30">
      <c r="A2" s="32" t="inlineStr">
        <is>
          <t>TechStart Inc.</t>
        </is>
      </c>
    </row>
    <row r="3" ht="15" customHeight="1" s="30">
      <c r="A3" s="33" t="inlineStr">
        <is>
          <t>Risk Remediation Tracker</t>
        </is>
      </c>
    </row>
    <row r="4">
      <c r="A4" s="34" t="inlineStr">
        <is>
          <t>Cloud Migration — ISO/IEC 27001:2022 Risk Treatment</t>
        </is>
      </c>
    </row>
    <row r="5" ht="15" customHeight="1" s="30"/>
    <row r="6" ht="15" customHeight="1" s="30">
      <c r="A6" s="35" t="inlineStr">
        <is>
          <t>Document ID:</t>
        </is>
      </c>
      <c r="B6" s="36" t="inlineStr">
        <is>
          <t>TS-ISMS-RT-001</t>
        </is>
      </c>
    </row>
    <row r="7" ht="15" customHeight="1" s="30">
      <c r="A7" s="35" t="inlineStr">
        <is>
          <t>Version:</t>
        </is>
      </c>
      <c r="B7" s="36" t="inlineStr">
        <is>
          <t>1.0</t>
        </is>
      </c>
    </row>
    <row r="8" ht="15" customHeight="1" s="30">
      <c r="A8" s="35" t="inlineStr">
        <is>
          <t>Last Updated:</t>
        </is>
      </c>
      <c r="B8" s="36" t="inlineStr">
        <is>
          <t>Q3 2024 (weekly review)</t>
        </is>
      </c>
    </row>
    <row r="9" ht="15" customHeight="1" s="30">
      <c r="A9" s="35" t="inlineStr">
        <is>
          <t>Owner:</t>
        </is>
      </c>
      <c r="B9" s="36" t="inlineStr">
        <is>
          <t>GRC Lead / PMO</t>
        </is>
      </c>
    </row>
    <row r="10" ht="15" customHeight="1" s="30">
      <c r="A10" s="35" t="inlineStr">
        <is>
          <t>Linked Documents:</t>
        </is>
      </c>
      <c r="B10" s="36" t="inlineStr">
        <is>
          <t>TS-ISMS-RR-001 Risk Register; TS-ISMS-SOA-001 Statement of Applicability</t>
        </is>
      </c>
    </row>
    <row r="11" ht="15" customHeight="1" s="30">
      <c r="A11" s="35" t="inlineStr">
        <is>
          <t>Review Cadence:</t>
        </is>
      </c>
      <c r="B11" s="36" t="inlineStr">
        <is>
          <t>Weekly during migration; biweekly post-cutover; monthly steady-state</t>
        </is>
      </c>
    </row>
    <row r="12">
      <c r="A12" s="35" t="inlineStr">
        <is>
          <t>Escalation:</t>
        </is>
      </c>
      <c r="B12" s="36" t="inlineStr">
        <is>
          <t>Any Blocked or P1 overdue item escalates to CISO; Board notification if unresolved &gt; 30 days</t>
        </is>
      </c>
    </row>
    <row r="13" ht="15" customHeight="1" s="30"/>
    <row r="14" ht="15" customHeight="1" s="30">
      <c r="A14" s="37" t="inlineStr">
        <is>
          <t>Status Legend</t>
        </is>
      </c>
    </row>
    <row r="15" ht="15" customHeight="1" s="30">
      <c r="A15" s="38" t="inlineStr">
        <is>
          <t>Not Started</t>
        </is>
      </c>
    </row>
    <row r="16" ht="15" customHeight="1" s="30">
      <c r="A16" s="39" t="inlineStr">
        <is>
          <t>In Progress</t>
        </is>
      </c>
    </row>
    <row r="17" ht="15" customHeight="1" s="30">
      <c r="A17" s="40" t="inlineStr">
        <is>
          <t>Blocked</t>
        </is>
      </c>
    </row>
    <row r="18" ht="15" customHeight="1" s="30">
      <c r="A18" s="41" t="inlineStr">
        <is>
          <t>Completed</t>
        </is>
      </c>
    </row>
    <row r="19">
      <c r="A19" s="42" t="inlineStr">
        <is>
          <t>Verified</t>
        </is>
      </c>
    </row>
    <row r="20" ht="15" customHeight="1" s="30"/>
    <row r="21" ht="15" customHeight="1" s="30">
      <c r="A21" s="37" t="inlineStr">
        <is>
          <t>Summary (live counts)</t>
        </is>
      </c>
    </row>
    <row r="22" ht="15" customHeight="1" s="30">
      <c r="A22" s="35" t="inlineStr">
        <is>
          <t>Total remediation items:</t>
        </is>
      </c>
      <c r="B22" s="43">
        <f>COUNTA(Tracker!A4:A100)-COUNTIF(Tracker!A4:A100,"")</f>
        <v/>
      </c>
    </row>
    <row r="23" ht="15" customHeight="1" s="30">
      <c r="A23" s="35" t="inlineStr">
        <is>
          <t>Not Started:</t>
        </is>
      </c>
      <c r="B23" s="43">
        <f>COUNTIF(Tracker!J4:J100,"Not Started")</f>
        <v/>
      </c>
    </row>
    <row r="24" ht="15" customHeight="1" s="30">
      <c r="A24" s="35" t="inlineStr">
        <is>
          <t>In Progress:</t>
        </is>
      </c>
      <c r="B24" s="43">
        <f>COUNTIF(Tracker!J4:J100,"In Progress")</f>
        <v/>
      </c>
    </row>
    <row r="25" ht="15" customHeight="1" s="30">
      <c r="A25" s="35" t="inlineStr">
        <is>
          <t>Blocked:</t>
        </is>
      </c>
      <c r="B25" s="43">
        <f>COUNTIF(Tracker!J4:J100,"Blocked")</f>
        <v/>
      </c>
    </row>
    <row r="26" ht="15" customHeight="1" s="30">
      <c r="A26" s="35" t="inlineStr">
        <is>
          <t>Completed:</t>
        </is>
      </c>
      <c r="B26" s="43">
        <f>COUNTIF(Tracker!J4:J100,"Completed")</f>
        <v/>
      </c>
    </row>
    <row r="27" ht="15" customHeight="1" s="30">
      <c r="A27" s="35" t="inlineStr">
        <is>
          <t>Verified:</t>
        </is>
      </c>
      <c r="B27" s="43">
        <f>COUNTIF(Tracker!J4:J100,"Verified")</f>
        <v/>
      </c>
    </row>
    <row r="28">
      <c r="A28" s="35" t="inlineStr">
        <is>
          <t>Percent Complete:</t>
        </is>
      </c>
      <c r="B28" s="44">
        <f>IFERROR((COUNTIF(Tracker!J4:J100,"Completed")+COUNTIF(Tracker!J4:J100,"Verified"))/(COUNTA(Tracker!A4:A100)-COUNTIF(Tracker!A4:A100,"")),0)</f>
        <v/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29" min="1" max="1"/>
    <col width="12" customWidth="1" style="29" min="2" max="2"/>
    <col width="30" customWidth="1" style="29" min="3" max="3"/>
    <col width="50" customWidth="1" style="29" min="4" max="4"/>
    <col width="28" customWidth="1" style="29" min="5" max="5"/>
    <col width="16" customWidth="1" style="29" min="6" max="6"/>
    <col width="24" customWidth="1" style="29" min="7" max="7"/>
    <col width="14" customWidth="1" style="29" min="8" max="10"/>
    <col width="10" customWidth="1" style="29" min="11" max="11"/>
    <col width="26" customWidth="1" style="29" min="12" max="12"/>
    <col width="30" customWidth="1" style="29" min="13" max="13"/>
  </cols>
  <sheetData>
    <row r="1" ht="30" customHeight="1" s="30">
      <c r="A1" s="31" t="inlineStr">
        <is>
          <t>Tejaswini Dondeti — Portfolio Sample  •  tejaswinidondeti.github.io  •  Read-only preview — please do not edit or redistribute</t>
        </is>
      </c>
    </row>
    <row r="2">
      <c r="A2" s="33" t="inlineStr">
        <is>
          <t>Risk Remediation Tracker</t>
        </is>
      </c>
    </row>
    <row r="3" ht="39.55" customHeight="1" s="30"/>
    <row r="4" ht="60" customHeight="1" s="30">
      <c r="A4" s="45" t="inlineStr">
        <is>
          <t>Task ID</t>
        </is>
      </c>
      <c r="B4" s="45" t="inlineStr">
        <is>
          <t>Linked Risk</t>
        </is>
      </c>
      <c r="C4" s="45" t="inlineStr">
        <is>
          <t>Task Title</t>
        </is>
      </c>
      <c r="D4" s="45" t="inlineStr">
        <is>
          <t>Description / Deliverable</t>
        </is>
      </c>
      <c r="E4" s="45" t="inlineStr">
        <is>
          <t>Linked Control(s) — Annex A</t>
        </is>
      </c>
      <c r="F4" s="45" t="inlineStr">
        <is>
          <t>Priority</t>
        </is>
      </c>
      <c r="G4" s="45" t="inlineStr">
        <is>
          <t>Owner</t>
        </is>
      </c>
      <c r="H4" s="45" t="inlineStr">
        <is>
          <t>Target Date</t>
        </is>
      </c>
      <c r="I4" s="45" t="inlineStr">
        <is>
          <t>Completion Date</t>
        </is>
      </c>
      <c r="J4" s="45" t="inlineStr">
        <is>
          <t>Status</t>
        </is>
      </c>
      <c r="K4" s="45" t="inlineStr">
        <is>
          <t>% Complete</t>
        </is>
      </c>
      <c r="L4" s="45" t="inlineStr">
        <is>
          <t>Evidence Link</t>
        </is>
      </c>
      <c r="M4" s="45" t="inlineStr">
        <is>
          <t>Notes</t>
        </is>
      </c>
    </row>
    <row r="5" ht="60" customHeight="1" s="30">
      <c r="A5" s="46" t="inlineStr">
        <is>
          <t>T-001</t>
        </is>
      </c>
      <c r="B5" s="46" t="inlineStr">
        <is>
          <t>R-01</t>
        </is>
      </c>
      <c r="C5" s="46" t="inlineStr">
        <is>
          <t>Enforce MFA on all AWS console users</t>
        </is>
      </c>
      <c r="D5" s="47" t="inlineStr">
        <is>
          <t>Okta-enforced MFA via SAML federation; no exceptions. Configure IAM deny-all-without-MFA policy.</t>
        </is>
      </c>
      <c r="E5" s="47" t="inlineStr">
        <is>
          <t>A.5.17; A.8.5</t>
        </is>
      </c>
      <c r="F5" s="48" t="inlineStr">
        <is>
          <t>P1 - Critical</t>
        </is>
      </c>
      <c r="G5" s="47" t="inlineStr">
        <is>
          <t>Cloud Platform Lead</t>
        </is>
      </c>
      <c r="H5" s="47" t="inlineStr">
        <is>
          <t>2024-08-15</t>
        </is>
      </c>
      <c r="I5" s="47" t="inlineStr">
        <is>
          <t>2024-08-12</t>
        </is>
      </c>
      <c r="J5" s="49" t="inlineStr">
        <is>
          <t>Verified</t>
        </is>
      </c>
      <c r="K5" s="50" t="n">
        <v>1</v>
      </c>
      <c r="L5" s="47" t="inlineStr">
        <is>
          <t>Okta admin export + IAM policy in Terraform PR #412</t>
        </is>
      </c>
      <c r="M5" s="47" t="inlineStr">
        <is>
          <t>Verified via access-review screenshot.</t>
        </is>
      </c>
    </row>
    <row r="6" ht="60" customHeight="1" s="30">
      <c r="A6" s="46" t="inlineStr">
        <is>
          <t>T-002</t>
        </is>
      </c>
      <c r="B6" s="46" t="inlineStr">
        <is>
          <t>R-01</t>
        </is>
      </c>
      <c r="C6" s="46" t="inlineStr">
        <is>
          <t>Deploy RDS encryption and KMS key policies</t>
        </is>
      </c>
      <c r="D6" s="47" t="inlineStr">
        <is>
          <t>KMS CMK with least-privilege policy; RDS encryption at rest enabled; PI key rotation annual.</t>
        </is>
      </c>
      <c r="E6" s="47" t="inlineStr">
        <is>
          <t>A.8.24; A.5.33</t>
        </is>
      </c>
      <c r="F6" s="48" t="inlineStr">
        <is>
          <t>P1 - Critical</t>
        </is>
      </c>
      <c r="G6" s="47" t="inlineStr">
        <is>
          <t>DBA</t>
        </is>
      </c>
      <c r="H6" s="47" t="inlineStr">
        <is>
          <t>2024-08-20</t>
        </is>
      </c>
      <c r="I6" s="47" t="inlineStr">
        <is>
          <t>2024-08-18</t>
        </is>
      </c>
      <c r="J6" s="49" t="inlineStr">
        <is>
          <t>Verified</t>
        </is>
      </c>
      <c r="K6" s="50" t="n">
        <v>1</v>
      </c>
      <c r="L6" s="47" t="inlineStr">
        <is>
          <t>KMS key ARN + RDS modify-db log</t>
        </is>
      </c>
      <c r="M6" s="47" t="inlineStr">
        <is>
          <t>Cross-account usage denied by SCP.</t>
        </is>
      </c>
    </row>
    <row r="7" ht="60" customHeight="1" s="30">
      <c r="A7" s="46" t="inlineStr">
        <is>
          <t>T-003</t>
        </is>
      </c>
      <c r="B7" s="46" t="inlineStr">
        <is>
          <t>R-01</t>
        </is>
      </c>
      <c r="C7" s="46" t="inlineStr">
        <is>
          <t>Implement CloudTrail organization trail with S3 Object Lock</t>
        </is>
      </c>
      <c r="D7" s="47" t="inlineStr">
        <is>
          <t>Org-wide CloudTrail to dedicated logging account; S3 bucket with Object Lock (WORM) 365-day retention.</t>
        </is>
      </c>
      <c r="E7" s="47" t="inlineStr">
        <is>
          <t>A.5.28; A.8.15</t>
        </is>
      </c>
      <c r="F7" s="48" t="inlineStr">
        <is>
          <t>P1 - Critical</t>
        </is>
      </c>
      <c r="G7" s="47" t="inlineStr">
        <is>
          <t>SRE</t>
        </is>
      </c>
      <c r="H7" s="47" t="inlineStr">
        <is>
          <t>2024-08-25</t>
        </is>
      </c>
      <c r="I7" s="47" t="inlineStr">
        <is>
          <t>2024-08-24</t>
        </is>
      </c>
      <c r="J7" s="51" t="inlineStr">
        <is>
          <t>Completed</t>
        </is>
      </c>
      <c r="K7" s="50" t="n">
        <v>1</v>
      </c>
      <c r="L7" s="47" t="inlineStr">
        <is>
          <t>CloudTrail ARN; S3 bucket policy</t>
        </is>
      </c>
      <c r="M7" s="47" t="inlineStr">
        <is>
          <t>Verification pending GRC review.</t>
        </is>
      </c>
    </row>
    <row r="8" ht="60" customHeight="1" s="30">
      <c r="A8" s="46" t="inlineStr">
        <is>
          <t>T-004</t>
        </is>
      </c>
      <c r="B8" s="46" t="inlineStr">
        <is>
          <t>R-01</t>
        </is>
      </c>
      <c r="C8" s="46" t="inlineStr">
        <is>
          <t>Database activity monitoring (DAM) rollout</t>
        </is>
      </c>
      <c r="D8" s="47" t="inlineStr">
        <is>
          <t>Enable RDS enhanced monitoring + Performance Insights; forward anomalous queries to SIEM.</t>
        </is>
      </c>
      <c r="E8" s="47" t="inlineStr">
        <is>
          <t>A.8.16; A.5.25</t>
        </is>
      </c>
      <c r="F8" s="52" t="inlineStr">
        <is>
          <t>P2 - High</t>
        </is>
      </c>
      <c r="G8" s="47" t="inlineStr">
        <is>
          <t>DBA / SRE</t>
        </is>
      </c>
      <c r="H8" s="47" t="inlineStr">
        <is>
          <t>2024-09-30</t>
        </is>
      </c>
      <c r="I8" s="47" t="n"/>
      <c r="J8" s="53" t="inlineStr">
        <is>
          <t>In Progress</t>
        </is>
      </c>
      <c r="K8" s="50" t="n">
        <v>0.6</v>
      </c>
      <c r="L8" s="47" t="n"/>
      <c r="M8" s="47" t="inlineStr">
        <is>
          <t>SIEM onboarding backlog item SEC-221.</t>
        </is>
      </c>
    </row>
    <row r="9" ht="60" customHeight="1" s="30">
      <c r="A9" s="46" t="inlineStr">
        <is>
          <t>T-005</t>
        </is>
      </c>
      <c r="B9" s="46" t="inlineStr">
        <is>
          <t>R-02</t>
        </is>
      </c>
      <c r="C9" s="46" t="inlineStr">
        <is>
          <t>Enable IAM Access Analyzer org-wide</t>
        </is>
      </c>
      <c r="D9" s="47" t="inlineStr">
        <is>
          <t>Deploy Access Analyzer in all member accounts; findings routed to Security Slack channel.</t>
        </is>
      </c>
      <c r="E9" s="47" t="inlineStr">
        <is>
          <t>A.5.15; A.8.2</t>
        </is>
      </c>
      <c r="F9" s="48" t="inlineStr">
        <is>
          <t>P1 - Critical</t>
        </is>
      </c>
      <c r="G9" s="47" t="inlineStr">
        <is>
          <t>Cloud Platform Lead</t>
        </is>
      </c>
      <c r="H9" s="47" t="inlineStr">
        <is>
          <t>2024-08-10</t>
        </is>
      </c>
      <c r="I9" s="47" t="inlineStr">
        <is>
          <t>2024-08-09</t>
        </is>
      </c>
      <c r="J9" s="49" t="inlineStr">
        <is>
          <t>Verified</t>
        </is>
      </c>
      <c r="K9" s="50" t="n">
        <v>1</v>
      </c>
      <c r="L9" s="47" t="inlineStr">
        <is>
          <t>Access Analyzer console export; Terraform module</t>
        </is>
      </c>
      <c r="M9" s="47" t="n"/>
    </row>
    <row r="10" ht="60" customHeight="1" s="30">
      <c r="A10" s="46" t="inlineStr">
        <is>
          <t>T-006</t>
        </is>
      </c>
      <c r="B10" s="46" t="inlineStr">
        <is>
          <t>R-02</t>
        </is>
      </c>
      <c r="C10" s="46" t="inlineStr">
        <is>
          <t>Implement Service Control Policies (SCPs)</t>
        </is>
      </c>
      <c r="D10" s="47" t="inlineStr">
        <is>
          <t>Deny dangerous actions (root user access, disabling CloudTrail, modifying IAM without MFA) at Organization level.</t>
        </is>
      </c>
      <c r="E10" s="47" t="inlineStr">
        <is>
          <t>A.5.15; A.8.22</t>
        </is>
      </c>
      <c r="F10" s="48" t="inlineStr">
        <is>
          <t>P1 - Critical</t>
        </is>
      </c>
      <c r="G10" s="47" t="inlineStr">
        <is>
          <t>Cloud Platform Lead</t>
        </is>
      </c>
      <c r="H10" s="47" t="inlineStr">
        <is>
          <t>2024-08-15</t>
        </is>
      </c>
      <c r="I10" s="47" t="inlineStr">
        <is>
          <t>2024-08-14</t>
        </is>
      </c>
      <c r="J10" s="49" t="inlineStr">
        <is>
          <t>Verified</t>
        </is>
      </c>
      <c r="K10" s="50" t="n">
        <v>1</v>
      </c>
      <c r="L10" s="47" t="inlineStr">
        <is>
          <t>SCP JSON in IaC repo</t>
        </is>
      </c>
      <c r="M10" s="47" t="inlineStr">
        <is>
          <t>Reviewed by external auditor in pre-assessment.</t>
        </is>
      </c>
    </row>
    <row r="11" ht="60" customHeight="1" s="30">
      <c r="A11" s="46" t="inlineStr">
        <is>
          <t>T-007</t>
        </is>
      </c>
      <c r="B11" s="46" t="inlineStr">
        <is>
          <t>R-02</t>
        </is>
      </c>
      <c r="C11" s="46" t="inlineStr">
        <is>
          <t>Remove wildcard IAM policies from legacy roles</t>
        </is>
      </c>
      <c r="D11" s="47" t="inlineStr">
        <is>
          <t>Audit all IAM policies, replace Action: "*" with scoped permissions; document exceptions.</t>
        </is>
      </c>
      <c r="E11" s="47" t="inlineStr">
        <is>
          <t>A.8.2; A.8.3</t>
        </is>
      </c>
      <c r="F11" s="48" t="inlineStr">
        <is>
          <t>P1 - Critical</t>
        </is>
      </c>
      <c r="G11" s="47" t="inlineStr">
        <is>
          <t>Cloud Platform Lead</t>
        </is>
      </c>
      <c r="H11" s="47" t="inlineStr">
        <is>
          <t>2024-08-30</t>
        </is>
      </c>
      <c r="I11" s="47" t="inlineStr">
        <is>
          <t>2024-08-28</t>
        </is>
      </c>
      <c r="J11" s="51" t="inlineStr">
        <is>
          <t>Completed</t>
        </is>
      </c>
      <c r="K11" s="50" t="n">
        <v>1</v>
      </c>
      <c r="L11" s="47" t="inlineStr">
        <is>
          <t>Policy diff report</t>
        </is>
      </c>
      <c r="M11" s="47" t="inlineStr">
        <is>
          <t>5 exceptions documented with owner signoff.</t>
        </is>
      </c>
    </row>
    <row r="12" ht="60" customHeight="1" s="30">
      <c r="A12" s="46" t="inlineStr">
        <is>
          <t>T-008</t>
        </is>
      </c>
      <c r="B12" s="46" t="inlineStr">
        <is>
          <t>R-02</t>
        </is>
      </c>
      <c r="C12" s="46" t="inlineStr">
        <is>
          <t>Quarterly IAM access review process</t>
        </is>
      </c>
      <c r="D12" s="47" t="inlineStr">
        <is>
          <t>Document process; first review scheduled post-cutover. Automated report via Access Analyzer + Okta report.</t>
        </is>
      </c>
      <c r="E12" s="47" t="inlineStr">
        <is>
          <t>A.5.18</t>
        </is>
      </c>
      <c r="F12" s="52" t="inlineStr">
        <is>
          <t>P2 - High</t>
        </is>
      </c>
      <c r="G12" s="47" t="inlineStr">
        <is>
          <t>GRC Lead</t>
        </is>
      </c>
      <c r="H12" s="47" t="inlineStr">
        <is>
          <t>2024-10-15</t>
        </is>
      </c>
      <c r="I12" s="47" t="n"/>
      <c r="J12" s="53" t="inlineStr">
        <is>
          <t>In Progress</t>
        </is>
      </c>
      <c r="K12" s="50" t="n">
        <v>0.4</v>
      </c>
      <c r="L12" s="47" t="n"/>
      <c r="M12" s="47" t="inlineStr">
        <is>
          <t>SOP drafted; first cycle pending.</t>
        </is>
      </c>
    </row>
    <row r="13" ht="60" customHeight="1" s="30">
      <c r="A13" s="46" t="inlineStr">
        <is>
          <t>T-009</t>
        </is>
      </c>
      <c r="B13" s="46" t="inlineStr">
        <is>
          <t>R-03</t>
        </is>
      </c>
      <c r="C13" s="46" t="inlineStr">
        <is>
          <t>DMS replication validation with checksums</t>
        </is>
      </c>
      <c r="D13" s="47" t="inlineStr">
        <is>
          <t>Enable DMS validation task; compare row counts and CRC checksums pre/post migration.</t>
        </is>
      </c>
      <c r="E13" s="47" t="inlineStr">
        <is>
          <t>A.8.24; A.5.14</t>
        </is>
      </c>
      <c r="F13" s="48" t="inlineStr">
        <is>
          <t>P1 - Critical</t>
        </is>
      </c>
      <c r="G13" s="47" t="inlineStr">
        <is>
          <t>DBA</t>
        </is>
      </c>
      <c r="H13" s="47" t="inlineStr">
        <is>
          <t>2024-09-05</t>
        </is>
      </c>
      <c r="I13" s="47" t="inlineStr">
        <is>
          <t>2024-09-04</t>
        </is>
      </c>
      <c r="J13" s="49" t="inlineStr">
        <is>
          <t>Verified</t>
        </is>
      </c>
      <c r="K13" s="50" t="n">
        <v>1</v>
      </c>
      <c r="L13" s="47" t="inlineStr">
        <is>
          <t>DMS validation report</t>
        </is>
      </c>
      <c r="M13" s="47" t="inlineStr">
        <is>
          <t>Zero discrepancies across 5M rows.</t>
        </is>
      </c>
    </row>
    <row r="14" ht="60" customHeight="1" s="30">
      <c r="A14" s="46" t="inlineStr">
        <is>
          <t>T-010</t>
        </is>
      </c>
      <c r="B14" s="46" t="inlineStr">
        <is>
          <t>R-03</t>
        </is>
      </c>
      <c r="C14" s="46" t="inlineStr">
        <is>
          <t>Multi-AZ RDS with automated backups (35-day)</t>
        </is>
      </c>
      <c r="D14" s="47" t="inlineStr">
        <is>
          <t>Deploy RDS in Multi-AZ with automated backup retention 35 days; cross-region snapshot copy to us-west-2.</t>
        </is>
      </c>
      <c r="E14" s="47" t="inlineStr">
        <is>
          <t>A.8.13; A.8.14; A.5.30</t>
        </is>
      </c>
      <c r="F14" s="48" t="inlineStr">
        <is>
          <t>P1 - Critical</t>
        </is>
      </c>
      <c r="G14" s="47" t="inlineStr">
        <is>
          <t>DBA</t>
        </is>
      </c>
      <c r="H14" s="47" t="inlineStr">
        <is>
          <t>2024-08-18</t>
        </is>
      </c>
      <c r="I14" s="47" t="inlineStr">
        <is>
          <t>2024-08-16</t>
        </is>
      </c>
      <c r="J14" s="49" t="inlineStr">
        <is>
          <t>Verified</t>
        </is>
      </c>
      <c r="K14" s="50" t="n">
        <v>1</v>
      </c>
      <c r="L14" s="47" t="inlineStr">
        <is>
          <t>RDS config; snapshot-copy rule</t>
        </is>
      </c>
      <c r="M14" s="47" t="n"/>
    </row>
    <row r="15" ht="60" customHeight="1" s="30">
      <c r="A15" s="46" t="inlineStr">
        <is>
          <t>T-011</t>
        </is>
      </c>
      <c r="B15" s="46" t="inlineStr">
        <is>
          <t>R-03</t>
        </is>
      </c>
      <c r="C15" s="46" t="inlineStr">
        <is>
          <t>Quarterly restore test</t>
        </is>
      </c>
      <c r="D15" s="47" t="inlineStr">
        <is>
          <t>Restore to isolated account, validate schema + row counts, document RTO achieved.</t>
        </is>
      </c>
      <c r="E15" s="47" t="inlineStr">
        <is>
          <t>A.8.13; A.5.30</t>
        </is>
      </c>
      <c r="F15" s="52" t="inlineStr">
        <is>
          <t>P2 - High</t>
        </is>
      </c>
      <c r="G15" s="47" t="inlineStr">
        <is>
          <t>DBA</t>
        </is>
      </c>
      <c r="H15" s="47" t="inlineStr">
        <is>
          <t>2024-10-30</t>
        </is>
      </c>
      <c r="I15" s="47" t="n"/>
      <c r="J15" s="54" t="inlineStr">
        <is>
          <t>Not Started</t>
        </is>
      </c>
      <c r="K15" s="50" t="n">
        <v>0</v>
      </c>
      <c r="L15" s="47" t="n"/>
      <c r="M15" s="47" t="inlineStr">
        <is>
          <t>First test scheduled for Oct.</t>
        </is>
      </c>
    </row>
    <row r="16" ht="60" customHeight="1" s="30">
      <c r="A16" s="46" t="inlineStr">
        <is>
          <t>T-012</t>
        </is>
      </c>
      <c r="B16" s="46" t="inlineStr">
        <is>
          <t>R-04</t>
        </is>
      </c>
      <c r="C16" s="46" t="inlineStr">
        <is>
          <t>Region-lock SCP for EU customer data</t>
        </is>
      </c>
      <c r="D16" s="47" t="inlineStr">
        <is>
          <t>SCP denies resource creation outside approved regions (us-east-1, us-west-2 for US; eu-central-1 for EU).</t>
        </is>
      </c>
      <c r="E16" s="47" t="inlineStr">
        <is>
          <t>A.5.31; A.5.23</t>
        </is>
      </c>
      <c r="F16" s="48" t="inlineStr">
        <is>
          <t>P1 - Critical</t>
        </is>
      </c>
      <c r="G16" s="47" t="inlineStr">
        <is>
          <t>Cloud Platform Lead / DPO</t>
        </is>
      </c>
      <c r="H16" s="47" t="inlineStr">
        <is>
          <t>2024-08-22</t>
        </is>
      </c>
      <c r="I16" s="47" t="inlineStr">
        <is>
          <t>2024-08-20</t>
        </is>
      </c>
      <c r="J16" s="49" t="inlineStr">
        <is>
          <t>Verified</t>
        </is>
      </c>
      <c r="K16" s="50" t="n">
        <v>1</v>
      </c>
      <c r="L16" s="47" t="inlineStr">
        <is>
          <t>SCP JSON; DPIA update</t>
        </is>
      </c>
      <c r="M16" s="47" t="n"/>
    </row>
    <row r="17" ht="60" customHeight="1" s="30">
      <c r="A17" s="46" t="inlineStr">
        <is>
          <t>T-013</t>
        </is>
      </c>
      <c r="B17" s="46" t="inlineStr">
        <is>
          <t>R-04</t>
        </is>
      </c>
      <c r="C17" s="46" t="inlineStr">
        <is>
          <t>Complete DPIA for cloud migration</t>
        </is>
      </c>
      <c r="D17" s="47" t="inlineStr">
        <is>
          <t>GDPR Article 35 DPIA; reviewed by DPO and Legal; filed with ROPA.</t>
        </is>
      </c>
      <c r="E17" s="47" t="inlineStr">
        <is>
          <t>A.5.34</t>
        </is>
      </c>
      <c r="F17" s="48" t="inlineStr">
        <is>
          <t>P1 - Critical</t>
        </is>
      </c>
      <c r="G17" s="47" t="inlineStr">
        <is>
          <t>DPO</t>
        </is>
      </c>
      <c r="H17" s="47" t="inlineStr">
        <is>
          <t>2024-08-10</t>
        </is>
      </c>
      <c r="I17" s="47" t="inlineStr">
        <is>
          <t>2024-08-08</t>
        </is>
      </c>
      <c r="J17" s="49" t="inlineStr">
        <is>
          <t>Verified</t>
        </is>
      </c>
      <c r="K17" s="50" t="n">
        <v>1</v>
      </c>
      <c r="L17" s="47" t="inlineStr">
        <is>
          <t>DPIA v1.2 signed; ROPA entry #D-2024-014</t>
        </is>
      </c>
      <c r="M17" s="47" t="n"/>
    </row>
    <row r="18" ht="60" customHeight="1" s="30">
      <c r="A18" s="46" t="inlineStr">
        <is>
          <t>T-014</t>
        </is>
      </c>
      <c r="B18" s="46" t="inlineStr">
        <is>
          <t>R-04</t>
        </is>
      </c>
      <c r="C18" s="46" t="inlineStr">
        <is>
          <t>Update customer DPAs with new sub-processor list</t>
        </is>
      </c>
      <c r="D18" s="47" t="inlineStr">
        <is>
          <t>Notify customers of AWS as processor under GDPR Art. 28; update DPA where required.</t>
        </is>
      </c>
      <c r="E18" s="47" t="inlineStr">
        <is>
          <t>A.5.20; A.5.31</t>
        </is>
      </c>
      <c r="F18" s="52" t="inlineStr">
        <is>
          <t>P2 - High</t>
        </is>
      </c>
      <c r="G18" s="47" t="inlineStr">
        <is>
          <t>Legal</t>
        </is>
      </c>
      <c r="H18" s="47" t="inlineStr">
        <is>
          <t>2024-09-30</t>
        </is>
      </c>
      <c r="I18" s="47" t="n"/>
      <c r="J18" s="53" t="inlineStr">
        <is>
          <t>In Progress</t>
        </is>
      </c>
      <c r="K18" s="50" t="n">
        <v>0.7</v>
      </c>
      <c r="L18" s="47" t="n"/>
      <c r="M18" s="47" t="inlineStr">
        <is>
          <t>45/200 customers notified; 155 remaining.</t>
        </is>
      </c>
    </row>
    <row r="19" ht="60" customHeight="1" s="30">
      <c r="A19" s="46" t="inlineStr">
        <is>
          <t>T-015</t>
        </is>
      </c>
      <c r="B19" s="46" t="inlineStr">
        <is>
          <t>R-05</t>
        </is>
      </c>
      <c r="C19" s="46" t="inlineStr">
        <is>
          <t>Cutover runbook with rollback steps</t>
        </is>
      </c>
      <c r="D19" s="47" t="inlineStr">
        <is>
          <t>Written runbook, rehearsed twice; explicit rollback trigger criteria and timings documented.</t>
        </is>
      </c>
      <c r="E19" s="47" t="inlineStr">
        <is>
          <t>A.5.29; A.5.30</t>
        </is>
      </c>
      <c r="F19" s="48" t="inlineStr">
        <is>
          <t>P1 - Critical</t>
        </is>
      </c>
      <c r="G19" s="47" t="inlineStr">
        <is>
          <t>VP Engineering</t>
        </is>
      </c>
      <c r="H19" s="47" t="inlineStr">
        <is>
          <t>2024-09-15</t>
        </is>
      </c>
      <c r="I19" s="47" t="inlineStr">
        <is>
          <t>2024-09-12</t>
        </is>
      </c>
      <c r="J19" s="49" t="inlineStr">
        <is>
          <t>Verified</t>
        </is>
      </c>
      <c r="K19" s="50" t="n">
        <v>1</v>
      </c>
      <c r="L19" s="47" t="inlineStr">
        <is>
          <t>Runbook v2.0; dress rehearsal log</t>
        </is>
      </c>
      <c r="M19" s="47" t="n"/>
    </row>
    <row r="20" ht="60" customHeight="1" s="30">
      <c r="A20" s="46" t="inlineStr">
        <is>
          <t>T-016</t>
        </is>
      </c>
      <c r="B20" s="46" t="inlineStr">
        <is>
          <t>R-05</t>
        </is>
      </c>
      <c r="C20" s="46" t="inlineStr">
        <is>
          <t>Customer communication plan</t>
        </is>
      </c>
      <c r="D20" s="47" t="inlineStr">
        <is>
          <t>Advance notice 30/14/7/1 day; status page; support team scripted.</t>
        </is>
      </c>
      <c r="E20" s="47" t="inlineStr">
        <is>
          <t>A.5.24; A.5.26</t>
        </is>
      </c>
      <c r="F20" s="52" t="inlineStr">
        <is>
          <t>P2 - High</t>
        </is>
      </c>
      <c r="G20" s="47" t="inlineStr">
        <is>
          <t>Customer Success / Legal</t>
        </is>
      </c>
      <c r="H20" s="47" t="inlineStr">
        <is>
          <t>2024-09-10</t>
        </is>
      </c>
      <c r="I20" s="47" t="inlineStr">
        <is>
          <t>2024-09-08</t>
        </is>
      </c>
      <c r="J20" s="51" t="inlineStr">
        <is>
          <t>Completed</t>
        </is>
      </c>
      <c r="K20" s="50" t="n">
        <v>1</v>
      </c>
      <c r="L20" s="47" t="inlineStr">
        <is>
          <t>Comm plan; draft emails approved</t>
        </is>
      </c>
      <c r="M20" s="47" t="inlineStr">
        <is>
          <t>Verification pending comms send.</t>
        </is>
      </c>
    </row>
    <row r="21" ht="60" customHeight="1" s="30">
      <c r="A21" s="46" t="inlineStr">
        <is>
          <t>T-017</t>
        </is>
      </c>
      <c r="B21" s="46" t="inlineStr">
        <is>
          <t>R-05</t>
        </is>
      </c>
      <c r="C21" s="46" t="inlineStr">
        <is>
          <t>Incident response tabletop exercise</t>
        </is>
      </c>
      <c r="D21" s="47" t="inlineStr">
        <is>
          <t>Simulate cutover failure, rollback decision, and customer escalation. Document lessons learned.</t>
        </is>
      </c>
      <c r="E21" s="47" t="inlineStr">
        <is>
          <t>A.5.26; A.5.27</t>
        </is>
      </c>
      <c r="F21" s="52" t="inlineStr">
        <is>
          <t>P2 - High</t>
        </is>
      </c>
      <c r="G21" s="47" t="inlineStr">
        <is>
          <t>CISO / VP Eng</t>
        </is>
      </c>
      <c r="H21" s="47" t="inlineStr">
        <is>
          <t>2024-09-18</t>
        </is>
      </c>
      <c r="I21" s="47" t="inlineStr">
        <is>
          <t>2024-09-17</t>
        </is>
      </c>
      <c r="J21" s="49" t="inlineStr">
        <is>
          <t>Verified</t>
        </is>
      </c>
      <c r="K21" s="50" t="n">
        <v>1</v>
      </c>
      <c r="L21" s="47" t="inlineStr">
        <is>
          <t>Tabletop after-action report</t>
        </is>
      </c>
      <c r="M21" s="47" t="inlineStr">
        <is>
          <t>3 findings opened as follow-ups.</t>
        </is>
      </c>
    </row>
    <row r="22" ht="60" customHeight="1" s="30">
      <c r="A22" s="46" t="inlineStr">
        <is>
          <t>T-018</t>
        </is>
      </c>
      <c r="B22" s="46" t="inlineStr">
        <is>
          <t>R-06</t>
        </is>
      </c>
      <c r="C22" s="46" t="inlineStr">
        <is>
          <t>Deploy centralized log aggregation</t>
        </is>
      </c>
      <c r="D22" s="47" t="inlineStr">
        <is>
          <t>All CloudTrail, VPC Flow, and application logs to central S3 + SIEM; 365-day hot + 7-year cold retention.</t>
        </is>
      </c>
      <c r="E22" s="47" t="inlineStr">
        <is>
          <t>A.8.15</t>
        </is>
      </c>
      <c r="F22" s="52" t="inlineStr">
        <is>
          <t>P2 - High</t>
        </is>
      </c>
      <c r="G22" s="47" t="inlineStr">
        <is>
          <t>SRE</t>
        </is>
      </c>
      <c r="H22" s="47" t="inlineStr">
        <is>
          <t>2024-10-31</t>
        </is>
      </c>
      <c r="I22" s="47" t="n"/>
      <c r="J22" s="53" t="inlineStr">
        <is>
          <t>In Progress</t>
        </is>
      </c>
      <c r="K22" s="50" t="n">
        <v>0.5</v>
      </c>
      <c r="L22" s="47" t="n"/>
      <c r="M22" s="47" t="inlineStr">
        <is>
          <t>S3 architecture complete; SIEM onboarding in flight.</t>
        </is>
      </c>
    </row>
    <row r="23" ht="60" customHeight="1" s="30">
      <c r="A23" s="46" t="inlineStr">
        <is>
          <t>T-019</t>
        </is>
      </c>
      <c r="B23" s="46" t="inlineStr">
        <is>
          <t>R-06</t>
        </is>
      </c>
      <c r="C23" s="46" t="inlineStr">
        <is>
          <t>GuardDuty org-wide with auto-remediation</t>
        </is>
      </c>
      <c r="D23" s="47" t="inlineStr">
        <is>
          <t>GuardDuty enabled in all regions and accounts; critical findings trigger Lambda remediation + PagerDuty.</t>
        </is>
      </c>
      <c r="E23" s="47" t="inlineStr">
        <is>
          <t>A.8.16; A.5.25</t>
        </is>
      </c>
      <c r="F23" s="52" t="inlineStr">
        <is>
          <t>P2 - High</t>
        </is>
      </c>
      <c r="G23" s="47" t="inlineStr">
        <is>
          <t>SRE</t>
        </is>
      </c>
      <c r="H23" s="47" t="inlineStr">
        <is>
          <t>2024-09-25</t>
        </is>
      </c>
      <c r="I23" s="47" t="inlineStr">
        <is>
          <t>2024-09-22</t>
        </is>
      </c>
      <c r="J23" s="51" t="inlineStr">
        <is>
          <t>Completed</t>
        </is>
      </c>
      <c r="K23" s="50" t="n">
        <v>1</v>
      </c>
      <c r="L23" s="47" t="inlineStr">
        <is>
          <t>GuardDuty config; Lambda ARN</t>
        </is>
      </c>
      <c r="M23" s="47" t="n"/>
    </row>
    <row r="24" ht="60" customHeight="1" s="30">
      <c r="A24" s="46" t="inlineStr">
        <is>
          <t>T-020</t>
        </is>
      </c>
      <c r="B24" s="46" t="inlineStr">
        <is>
          <t>R-06</t>
        </is>
      </c>
      <c r="C24" s="46" t="inlineStr">
        <is>
          <t>90-day post-migration monitoring review</t>
        </is>
      </c>
      <c r="D24" s="47" t="inlineStr">
        <is>
          <t>Structured review of all security events during first 90 days post-cutover; lessons learned report.</t>
        </is>
      </c>
      <c r="E24" s="47" t="inlineStr">
        <is>
          <t>A.5.27; A.8.16</t>
        </is>
      </c>
      <c r="F24" s="55" t="inlineStr">
        <is>
          <t>P3 - Medium</t>
        </is>
      </c>
      <c r="G24" s="47" t="inlineStr">
        <is>
          <t>GRC Lead</t>
        </is>
      </c>
      <c r="H24" s="47" t="inlineStr">
        <is>
          <t>2024-12-15</t>
        </is>
      </c>
      <c r="I24" s="47" t="n"/>
      <c r="J24" s="54" t="inlineStr">
        <is>
          <t>Not Started</t>
        </is>
      </c>
      <c r="K24" s="50" t="n">
        <v>0</v>
      </c>
      <c r="L24" s="47" t="n"/>
      <c r="M24" s="47" t="inlineStr">
        <is>
          <t>Scheduled for Dec-2024.</t>
        </is>
      </c>
    </row>
    <row r="25" ht="60" customHeight="1" s="30">
      <c r="A25" s="46" t="inlineStr">
        <is>
          <t>T-021</t>
        </is>
      </c>
      <c r="B25" s="46" t="inlineStr">
        <is>
          <t>R-07</t>
        </is>
      </c>
      <c r="C25" s="46" t="inlineStr">
        <is>
          <t>Document cloud exit strategy</t>
        </is>
      </c>
      <c r="D25" s="47" t="inlineStr">
        <is>
          <t>Written exit plan: data egress process, alternative provider shortlist, estimated cost and timeline.</t>
        </is>
      </c>
      <c r="E25" s="47" t="inlineStr">
        <is>
          <t>A.5.19; A.5.22</t>
        </is>
      </c>
      <c r="F25" s="55" t="inlineStr">
        <is>
          <t>P3 - Medium</t>
        </is>
      </c>
      <c r="G25" s="47" t="inlineStr">
        <is>
          <t>CISO</t>
        </is>
      </c>
      <c r="H25" s="47" t="inlineStr">
        <is>
          <t>2024-11-30</t>
        </is>
      </c>
      <c r="I25" s="47" t="n"/>
      <c r="J25" s="54" t="inlineStr">
        <is>
          <t>Not Started</t>
        </is>
      </c>
      <c r="K25" s="50" t="n">
        <v>0</v>
      </c>
      <c r="L25" s="47" t="n"/>
      <c r="M25" s="47" t="inlineStr">
        <is>
          <t>Risk accepted; documentation underway.</t>
        </is>
      </c>
    </row>
    <row r="26" ht="60" customHeight="1" s="30">
      <c r="A26" s="46" t="inlineStr">
        <is>
          <t>T-022</t>
        </is>
      </c>
      <c r="B26" s="46" t="inlineStr">
        <is>
          <t>Cross</t>
        </is>
      </c>
      <c r="C26" s="46" t="inlineStr">
        <is>
          <t>Publish Information Security Policy</t>
        </is>
      </c>
      <c r="D26" s="47" t="inlineStr">
        <is>
          <t>Approve and publish core ISMS policy; distribute to all staff; confirm attestation.</t>
        </is>
      </c>
      <c r="E26" s="47" t="inlineStr">
        <is>
          <t>A.5.1</t>
        </is>
      </c>
      <c r="F26" s="52" t="inlineStr">
        <is>
          <t>P2 - High</t>
        </is>
      </c>
      <c r="G26" s="47" t="inlineStr">
        <is>
          <t>CISO</t>
        </is>
      </c>
      <c r="H26" s="47" t="inlineStr">
        <is>
          <t>2024-09-01</t>
        </is>
      </c>
      <c r="I26" s="47" t="inlineStr">
        <is>
          <t>2024-08-30</t>
        </is>
      </c>
      <c r="J26" s="49" t="inlineStr">
        <is>
          <t>Verified</t>
        </is>
      </c>
      <c r="K26" s="50" t="n">
        <v>1</v>
      </c>
      <c r="L26" s="47" t="inlineStr">
        <is>
          <t>Policy v1.0 signed by CEO</t>
        </is>
      </c>
      <c r="M26" s="47" t="n"/>
    </row>
    <row r="27" ht="60" customHeight="1" s="30">
      <c r="A27" s="46" t="inlineStr">
        <is>
          <t>T-023</t>
        </is>
      </c>
      <c r="B27" s="46" t="inlineStr">
        <is>
          <t>Cross</t>
        </is>
      </c>
      <c r="C27" s="46" t="inlineStr">
        <is>
          <t>Publish Access Control Policy</t>
        </is>
      </c>
      <c r="D27" s="47" t="inlineStr">
        <is>
          <t>Document and distribute; link to IAM SOPs.</t>
        </is>
      </c>
      <c r="E27" s="47" t="inlineStr">
        <is>
          <t>A.5.15; A.5.18</t>
        </is>
      </c>
      <c r="F27" s="52" t="inlineStr">
        <is>
          <t>P2 - High</t>
        </is>
      </c>
      <c r="G27" s="47" t="inlineStr">
        <is>
          <t>CISO</t>
        </is>
      </c>
      <c r="H27" s="47" t="inlineStr">
        <is>
          <t>2024-09-05</t>
        </is>
      </c>
      <c r="I27" s="47" t="inlineStr">
        <is>
          <t>2024-09-03</t>
        </is>
      </c>
      <c r="J27" s="49" t="inlineStr">
        <is>
          <t>Verified</t>
        </is>
      </c>
      <c r="K27" s="50" t="n">
        <v>1</v>
      </c>
      <c r="L27" s="47" t="inlineStr">
        <is>
          <t>Policy v1.0</t>
        </is>
      </c>
      <c r="M27" s="47" t="n"/>
    </row>
    <row r="28" ht="60" customHeight="1" s="30">
      <c r="A28" s="46" t="inlineStr">
        <is>
          <t>T-024</t>
        </is>
      </c>
      <c r="B28" s="46" t="inlineStr">
        <is>
          <t>Cross</t>
        </is>
      </c>
      <c r="C28" s="46" t="inlineStr">
        <is>
          <t>Publish Data Classification Policy</t>
        </is>
      </c>
      <c r="D28" s="47" t="inlineStr">
        <is>
          <t>Document classification tiers and handling requirements; train staff.</t>
        </is>
      </c>
      <c r="E28" s="47" t="inlineStr">
        <is>
          <t>A.5.12; A.5.13</t>
        </is>
      </c>
      <c r="F28" s="52" t="inlineStr">
        <is>
          <t>P2 - High</t>
        </is>
      </c>
      <c r="G28" s="47" t="inlineStr">
        <is>
          <t>DPO</t>
        </is>
      </c>
      <c r="H28" s="47" t="inlineStr">
        <is>
          <t>2024-09-10</t>
        </is>
      </c>
      <c r="I28" s="47" t="inlineStr">
        <is>
          <t>2024-09-08</t>
        </is>
      </c>
      <c r="J28" s="51" t="inlineStr">
        <is>
          <t>Completed</t>
        </is>
      </c>
      <c r="K28" s="50" t="n">
        <v>1</v>
      </c>
      <c r="L28" s="47" t="inlineStr">
        <is>
          <t>Policy v1.0</t>
        </is>
      </c>
      <c r="M28" s="47" t="inlineStr">
        <is>
          <t>Training rollout in progress.</t>
        </is>
      </c>
    </row>
    <row r="29">
      <c r="A29" s="46" t="inlineStr">
        <is>
          <t>T-025</t>
        </is>
      </c>
      <c r="B29" s="46" t="inlineStr">
        <is>
          <t>Cross</t>
        </is>
      </c>
      <c r="C29" s="46" t="inlineStr">
        <is>
          <t>Conduct ISO 27001 internal audit</t>
        </is>
      </c>
      <c r="D29" s="47" t="inlineStr">
        <is>
          <t>Internal audit against ISMS; document findings; close out before external pre-assessment.</t>
        </is>
      </c>
      <c r="E29" s="47" t="inlineStr">
        <is>
          <t>A.5.35; A.5.36</t>
        </is>
      </c>
      <c r="F29" s="55" t="inlineStr">
        <is>
          <t>P3 - Medium</t>
        </is>
      </c>
      <c r="G29" s="47" t="inlineStr">
        <is>
          <t>GRC Lead</t>
        </is>
      </c>
      <c r="H29" s="47" t="inlineStr">
        <is>
          <t>2025-02-28</t>
        </is>
      </c>
      <c r="I29" s="47" t="n"/>
      <c r="J29" s="54" t="inlineStr">
        <is>
          <t>Not Started</t>
        </is>
      </c>
      <c r="K29" s="50" t="n">
        <v>0</v>
      </c>
      <c r="L29" s="47" t="n"/>
      <c r="M29" s="47" t="inlineStr">
        <is>
          <t>Scheduled Q1 2025.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9" min="1" max="1"/>
    <col width="14" customWidth="1" style="29" min="2" max="2"/>
    <col width="18" customWidth="1" style="29" min="3" max="3"/>
    <col width="14" customWidth="1" style="29" min="4" max="4"/>
    <col width="20" customWidth="1" style="29" min="5" max="5"/>
    <col width="14" customWidth="1" style="29" min="6" max="6"/>
  </cols>
  <sheetData>
    <row r="1" ht="30" customHeight="1" s="30">
      <c r="A1" s="31" t="inlineStr">
        <is>
          <t>Tejaswini Dondeti — Portfolio Sample  •  tejaswinidondeti.github.io  •  Read-only preview — please do not edit or redistribute</t>
        </is>
      </c>
    </row>
    <row r="2">
      <c r="A2" s="33" t="inlineStr">
        <is>
          <t>Remediation Coverage by Risk</t>
        </is>
      </c>
    </row>
    <row r="3" ht="26.85" customHeight="1" s="30"/>
    <row r="4" ht="15" customHeight="1" s="30">
      <c r="A4" s="45" t="inlineStr">
        <is>
          <t>Risk ID</t>
        </is>
      </c>
      <c r="B4" s="45" t="inlineStr">
        <is>
          <t>Total Tasks</t>
        </is>
      </c>
      <c r="C4" s="45" t="inlineStr">
        <is>
          <t>Verified/Completed</t>
        </is>
      </c>
      <c r="D4" s="45" t="inlineStr">
        <is>
          <t>In Progress</t>
        </is>
      </c>
      <c r="E4" s="45" t="inlineStr">
        <is>
          <t>Not Started/Blocked</t>
        </is>
      </c>
      <c r="F4" s="45" t="inlineStr">
        <is>
          <t>% Closure</t>
        </is>
      </c>
    </row>
    <row r="5" ht="15" customHeight="1" s="30">
      <c r="A5" s="56" t="inlineStr">
        <is>
          <t>R-01</t>
        </is>
      </c>
      <c r="B5" s="57">
        <f>COUNTIF(Tracker!B4:B100,"R-01")</f>
        <v/>
      </c>
      <c r="C5" s="57">
        <f>COUNTIFS(Tracker!B4:B100,"R-01",Tracker!J4:J100,"Completed")+COUNTIFS(Tracker!B4:B100,"R-01",Tracker!J4:J100,"Verified")</f>
        <v/>
      </c>
      <c r="D5" s="57">
        <f>COUNTIFS(Tracker!B4:B100,"R-01",Tracker!J4:J100,"In Progress")</f>
        <v/>
      </c>
      <c r="E5" s="57">
        <f>COUNTIFS(Tracker!B4:B100,"R-01",Tracker!J4:J100,"Not Started")+COUNTIFS(Tracker!B4:B100,"R-01",Tracker!J4:J100,"Blocked")</f>
        <v/>
      </c>
      <c r="F5" s="58">
        <f>IFERROR(C4/B4,0)</f>
        <v/>
      </c>
    </row>
    <row r="6" ht="15" customHeight="1" s="30">
      <c r="A6" s="56" t="inlineStr">
        <is>
          <t>R-02</t>
        </is>
      </c>
      <c r="B6" s="57">
        <f>COUNTIF(Tracker!B4:B100,"R-02")</f>
        <v/>
      </c>
      <c r="C6" s="57">
        <f>COUNTIFS(Tracker!B4:B100,"R-02",Tracker!J4:J100,"Completed")+COUNTIFS(Tracker!B4:B100,"R-02",Tracker!J4:J100,"Verified")</f>
        <v/>
      </c>
      <c r="D6" s="57">
        <f>COUNTIFS(Tracker!B4:B100,"R-02",Tracker!J4:J100,"In Progress")</f>
        <v/>
      </c>
      <c r="E6" s="57">
        <f>COUNTIFS(Tracker!B4:B100,"R-02",Tracker!J4:J100,"Not Started")+COUNTIFS(Tracker!B4:B100,"R-02",Tracker!J4:J100,"Blocked")</f>
        <v/>
      </c>
      <c r="F6" s="58">
        <f>IFERROR(C5/B5,0)</f>
        <v/>
      </c>
    </row>
    <row r="7" ht="15" customHeight="1" s="30">
      <c r="A7" s="56" t="inlineStr">
        <is>
          <t>R-03</t>
        </is>
      </c>
      <c r="B7" s="57">
        <f>COUNTIF(Tracker!B4:B100,"R-03")</f>
        <v/>
      </c>
      <c r="C7" s="57">
        <f>COUNTIFS(Tracker!B4:B100,"R-03",Tracker!J4:J100,"Completed")+COUNTIFS(Tracker!B4:B100,"R-03",Tracker!J4:J100,"Verified")</f>
        <v/>
      </c>
      <c r="D7" s="57">
        <f>COUNTIFS(Tracker!B4:B100,"R-03",Tracker!J4:J100,"In Progress")</f>
        <v/>
      </c>
      <c r="E7" s="57">
        <f>COUNTIFS(Tracker!B4:B100,"R-03",Tracker!J4:J100,"Not Started")+COUNTIFS(Tracker!B4:B100,"R-03",Tracker!J4:J100,"Blocked")</f>
        <v/>
      </c>
      <c r="F7" s="58">
        <f>IFERROR(C6/B6,0)</f>
        <v/>
      </c>
    </row>
    <row r="8" ht="15" customHeight="1" s="30">
      <c r="A8" s="56" t="inlineStr">
        <is>
          <t>R-04</t>
        </is>
      </c>
      <c r="B8" s="57">
        <f>COUNTIF(Tracker!B4:B100,"R-04")</f>
        <v/>
      </c>
      <c r="C8" s="57">
        <f>COUNTIFS(Tracker!B4:B100,"R-04",Tracker!J4:J100,"Completed")+COUNTIFS(Tracker!B4:B100,"R-04",Tracker!J4:J100,"Verified")</f>
        <v/>
      </c>
      <c r="D8" s="57">
        <f>COUNTIFS(Tracker!B4:B100,"R-04",Tracker!J4:J100,"In Progress")</f>
        <v/>
      </c>
      <c r="E8" s="57">
        <f>COUNTIFS(Tracker!B4:B100,"R-04",Tracker!J4:J100,"Not Started")+COUNTIFS(Tracker!B4:B100,"R-04",Tracker!J4:J100,"Blocked")</f>
        <v/>
      </c>
      <c r="F8" s="58">
        <f>IFERROR(C7/B7,0)</f>
        <v/>
      </c>
    </row>
    <row r="9" ht="15" customHeight="1" s="30">
      <c r="A9" s="56" t="inlineStr">
        <is>
          <t>R-05</t>
        </is>
      </c>
      <c r="B9" s="57">
        <f>COUNTIF(Tracker!B4:B100,"R-05")</f>
        <v/>
      </c>
      <c r="C9" s="57">
        <f>COUNTIFS(Tracker!B4:B100,"R-05",Tracker!J4:J100,"Completed")+COUNTIFS(Tracker!B4:B100,"R-05",Tracker!J4:J100,"Verified")</f>
        <v/>
      </c>
      <c r="D9" s="57">
        <f>COUNTIFS(Tracker!B4:B100,"R-05",Tracker!J4:J100,"In Progress")</f>
        <v/>
      </c>
      <c r="E9" s="57">
        <f>COUNTIFS(Tracker!B4:B100,"R-05",Tracker!J4:J100,"Not Started")+COUNTIFS(Tracker!B4:B100,"R-05",Tracker!J4:J100,"Blocked")</f>
        <v/>
      </c>
      <c r="F9" s="58">
        <f>IFERROR(C8/B8,0)</f>
        <v/>
      </c>
    </row>
    <row r="10" ht="15" customHeight="1" s="30">
      <c r="A10" s="56" t="inlineStr">
        <is>
          <t>R-06</t>
        </is>
      </c>
      <c r="B10" s="57">
        <f>COUNTIF(Tracker!B4:B100,"R-06")</f>
        <v/>
      </c>
      <c r="C10" s="57">
        <f>COUNTIFS(Tracker!B4:B100,"R-06",Tracker!J4:J100,"Completed")+COUNTIFS(Tracker!B4:B100,"R-06",Tracker!J4:J100,"Verified")</f>
        <v/>
      </c>
      <c r="D10" s="57">
        <f>COUNTIFS(Tracker!B4:B100,"R-06",Tracker!J4:J100,"In Progress")</f>
        <v/>
      </c>
      <c r="E10" s="57">
        <f>COUNTIFS(Tracker!B4:B100,"R-06",Tracker!J4:J100,"Not Started")+COUNTIFS(Tracker!B4:B100,"R-06",Tracker!J4:J100,"Blocked")</f>
        <v/>
      </c>
      <c r="F10" s="58">
        <f>IFERROR(C9/B9,0)</f>
        <v/>
      </c>
    </row>
    <row r="11" ht="15" customHeight="1" s="30">
      <c r="A11" s="56" t="inlineStr">
        <is>
          <t>R-07</t>
        </is>
      </c>
      <c r="B11" s="57">
        <f>COUNTIF(Tracker!B4:B100,"R-07")</f>
        <v/>
      </c>
      <c r="C11" s="57">
        <f>COUNTIFS(Tracker!B4:B100,"R-07",Tracker!J4:J100,"Completed")+COUNTIFS(Tracker!B4:B100,"R-07",Tracker!J4:J100,"Verified")</f>
        <v/>
      </c>
      <c r="D11" s="57">
        <f>COUNTIFS(Tracker!B4:B100,"R-07",Tracker!J4:J100,"In Progress")</f>
        <v/>
      </c>
      <c r="E11" s="57">
        <f>COUNTIFS(Tracker!B4:B100,"R-07",Tracker!J4:J100,"Not Started")+COUNTIFS(Tracker!B4:B100,"R-07",Tracker!J4:J100,"Blocked")</f>
        <v/>
      </c>
      <c r="F11" s="58">
        <f>IFERROR(C10/B10,0)</f>
        <v/>
      </c>
    </row>
    <row r="12">
      <c r="A12" s="56" t="inlineStr">
        <is>
          <t>Cross</t>
        </is>
      </c>
      <c r="B12" s="57">
        <f>COUNTIF(Tracker!B4:B100,"Cross")</f>
        <v/>
      </c>
      <c r="C12" s="57">
        <f>COUNTIFS(Tracker!B4:B100,"Cross",Tracker!J4:J100,"Completed")+COUNTIFS(Tracker!B4:B100,"Cross",Tracker!J4:J100,"Verified")</f>
        <v/>
      </c>
      <c r="D12" s="57">
        <f>COUNTIFS(Tracker!B4:B100,"Cross",Tracker!J4:J100,"In Progress")</f>
        <v/>
      </c>
      <c r="E12" s="57">
        <f>COUNTIFS(Tracker!B4:B100,"Cross",Tracker!J4:J100,"Not Started")+COUNTIFS(Tracker!B4:B100,"Cross",Tracker!J4:J100,"Blocked")</f>
        <v/>
      </c>
      <c r="F12" s="58">
        <f>IFERROR(C11/B11,0)</f>
        <v/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2026-04-21T22:05:06Z</dcterms:created>
  <dcterms:modified xmlns:dcterms="http://purl.org/dc/terms/" xmlns:xsi="http://www.w3.org/2001/XMLSchema-instance" xsi:type="dcterms:W3CDTF">2026-04-21T23:13:57Z</dcterms:modified>
  <cp:revision>0</cp:revision>
</cp:coreProperties>
</file>