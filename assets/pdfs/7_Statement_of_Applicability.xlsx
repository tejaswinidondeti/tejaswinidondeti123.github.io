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workbookPassword="96FA" lockStructure="1" lockWindows="0"/>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over" sheetId="1" state="visible" r:id="rId1"/>
    <sheet xmlns:r="http://schemas.openxmlformats.org/officeDocument/2006/relationships" name="Controls" sheetId="2" state="visible" r:id="rId2"/>
    <sheet xmlns:r="http://schemas.openxmlformats.org/officeDocument/2006/relationships" name="Exclusions &amp; Decisions" sheetId="3" state="visible" r:id="rId3"/>
  </sheets>
  <definedNames/>
  <calcPr calcId="124519" fullCalcOnLoad="1" refMode="A1" iterate="0" iterateCount="100" iterateDelta="0.0001"/>
</workbook>
</file>

<file path=xl/styles.xml><?xml version="1.0" encoding="utf-8"?>
<styleSheet xmlns="http://schemas.openxmlformats.org/spreadsheetml/2006/main">
  <numFmts count="0"/>
  <fonts count="12">
    <font>
      <name val="Calibri"/>
      <charset val="1"/>
      <family val="2"/>
      <color theme="1"/>
      <sz val="11"/>
    </font>
    <font>
      <name val="Arial"/>
      <family val="0"/>
      <sz val="10"/>
    </font>
    <font>
      <name val="Arial"/>
      <family val="0"/>
      <sz val="10"/>
    </font>
    <font>
      <name val="Arial"/>
      <family val="0"/>
      <sz val="10"/>
    </font>
    <font>
      <name val="Arial"/>
      <charset val="1"/>
      <family val="0"/>
      <b val="1"/>
      <color rgb="FF1F4E79"/>
      <sz val="18"/>
    </font>
    <font>
      <name val="Arial"/>
      <charset val="1"/>
      <family val="0"/>
      <b val="1"/>
      <color rgb="FF1F4E79"/>
      <sz val="14"/>
    </font>
    <font>
      <name val="Arial"/>
      <charset val="1"/>
      <family val="0"/>
      <i val="1"/>
      <color rgb="FF595959"/>
      <sz val="12"/>
    </font>
    <font>
      <name val="Arial"/>
      <charset val="1"/>
      <family val="0"/>
      <b val="1"/>
      <sz val="11"/>
    </font>
    <font>
      <name val="Arial"/>
      <charset val="1"/>
      <family val="0"/>
      <sz val="11"/>
    </font>
    <font>
      <name val="Arial"/>
      <charset val="1"/>
      <family val="0"/>
      <b val="1"/>
      <color rgb="FF1F4E79"/>
      <sz val="12"/>
    </font>
    <font>
      <name val="Arial"/>
      <charset val="1"/>
      <family val="0"/>
      <b val="1"/>
      <color rgb="FFFFFFFF"/>
      <sz val="11"/>
    </font>
    <font>
      <name val="Calibri"/>
      <b val="1"/>
      <i val="1"/>
      <color rgb="00C2410C"/>
      <sz val="10"/>
    </font>
  </fonts>
  <fills count="10">
    <fill>
      <patternFill/>
    </fill>
    <fill>
      <patternFill patternType="gray125"/>
    </fill>
    <fill>
      <patternFill patternType="solid">
        <fgColor rgb="FF1F4E79"/>
        <bgColor rgb="FF003366"/>
      </patternFill>
    </fill>
    <fill>
      <patternFill patternType="solid">
        <fgColor rgb="FFE2EFDA"/>
        <bgColor rgb="FFC6EFCE"/>
      </patternFill>
    </fill>
    <fill>
      <patternFill patternType="solid">
        <fgColor rgb="FFFFEB9C"/>
        <bgColor rgb="FFFFD9B3"/>
      </patternFill>
    </fill>
    <fill>
      <patternFill patternType="solid">
        <fgColor rgb="FFC6EFCE"/>
        <bgColor rgb="FFE2EFDA"/>
      </patternFill>
    </fill>
    <fill>
      <patternFill patternType="solid">
        <fgColor rgb="FFFFD9B3"/>
        <bgColor rgb="FFFCE4D6"/>
      </patternFill>
    </fill>
    <fill>
      <patternFill patternType="solid">
        <fgColor rgb="FFFCE4D6"/>
        <bgColor rgb="FFFFD9B3"/>
      </patternFill>
    </fill>
    <fill>
      <patternFill patternType="solid">
        <fgColor rgb="FFD9D9D9"/>
        <bgColor rgb="FFE2EFDA"/>
      </patternFill>
    </fill>
    <fill>
      <patternFill patternType="solid">
        <fgColor rgb="00FFF7ED"/>
        <bgColor rgb="00FFF7ED"/>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5">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left" vertical="top" wrapText="1"/>
    </xf>
    <xf numFmtId="0" fontId="9" fillId="0" borderId="0" applyAlignment="1" pivotButton="0" quotePrefix="0" xfId="0">
      <alignment horizontal="general" vertical="bottom"/>
    </xf>
    <xf numFmtId="0" fontId="8" fillId="0" borderId="0" applyAlignment="1" pivotButton="0" quotePrefix="0" xfId="0">
      <alignment horizontal="general" vertical="bottom"/>
    </xf>
    <xf numFmtId="0" fontId="5" fillId="0" borderId="0" applyAlignment="1" pivotButton="0" quotePrefix="0" xfId="0">
      <alignment horizontal="general" vertical="bottom"/>
    </xf>
    <xf numFmtId="0" fontId="10" fillId="2" borderId="1" applyAlignment="1" pivotButton="0" quotePrefix="0" xfId="0">
      <alignment horizontal="center" vertical="center" wrapText="1"/>
    </xf>
    <xf numFmtId="0" fontId="8" fillId="0" borderId="1" applyAlignment="1" pivotButton="0" quotePrefix="0" xfId="0">
      <alignment horizontal="left" vertical="top" wrapText="1"/>
    </xf>
    <xf numFmtId="0" fontId="8" fillId="3" borderId="1" applyAlignment="1" pivotButton="0" quotePrefix="0" xfId="0">
      <alignment horizontal="left" vertical="top" wrapText="1"/>
    </xf>
    <xf numFmtId="0" fontId="8" fillId="4" borderId="1" applyAlignment="1" pivotButton="0" quotePrefix="0" xfId="0">
      <alignment horizontal="left" vertical="top" wrapText="1"/>
    </xf>
    <xf numFmtId="0" fontId="8" fillId="5" borderId="1" applyAlignment="1" pivotButton="0" quotePrefix="0" xfId="0">
      <alignment horizontal="left" vertical="top" wrapText="1"/>
    </xf>
    <xf numFmtId="0" fontId="8" fillId="6" borderId="1" applyAlignment="1" pivotButton="0" quotePrefix="0" xfId="0">
      <alignment horizontal="left" vertical="top" wrapText="1"/>
    </xf>
    <xf numFmtId="0" fontId="8" fillId="7" borderId="1" applyAlignment="1" pivotButton="0" quotePrefix="0" xfId="0">
      <alignment horizontal="left" vertical="top" wrapText="1"/>
    </xf>
    <xf numFmtId="0" fontId="8" fillId="8" borderId="1"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11" fillId="9" borderId="0" applyAlignment="1" pivotButton="0" quotePrefix="0" xfId="0">
      <alignment horizontal="center" vertical="center" wrapText="1"/>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left" vertical="top" wrapText="1"/>
    </xf>
    <xf numFmtId="0" fontId="9" fillId="0" borderId="0" applyAlignment="1" pivotButton="0" quotePrefix="0" xfId="0">
      <alignment horizontal="general" vertical="bottom"/>
    </xf>
    <xf numFmtId="0" fontId="8" fillId="0" borderId="0" applyAlignment="1" pivotButton="0" quotePrefix="0" xfId="0">
      <alignment horizontal="general" vertical="bottom"/>
    </xf>
    <xf numFmtId="0" fontId="10" fillId="2" borderId="1" applyAlignment="1" pivotButton="0" quotePrefix="0" xfId="0">
      <alignment horizontal="center" vertical="center" wrapText="1"/>
    </xf>
    <xf numFmtId="0" fontId="8" fillId="0" borderId="1" applyAlignment="1" pivotButton="0" quotePrefix="0" xfId="0">
      <alignment horizontal="left" vertical="top" wrapText="1"/>
    </xf>
    <xf numFmtId="0" fontId="8" fillId="3" borderId="1" applyAlignment="1" pivotButton="0" quotePrefix="0" xfId="0">
      <alignment horizontal="left" vertical="top" wrapText="1"/>
    </xf>
    <xf numFmtId="0" fontId="8" fillId="4" borderId="1" applyAlignment="1" pivotButton="0" quotePrefix="0" xfId="0">
      <alignment horizontal="left" vertical="top" wrapText="1"/>
    </xf>
    <xf numFmtId="0" fontId="8" fillId="5" borderId="1" applyAlignment="1" pivotButton="0" quotePrefix="0" xfId="0">
      <alignment horizontal="left" vertical="top" wrapText="1"/>
    </xf>
    <xf numFmtId="0" fontId="8" fillId="6" borderId="1" applyAlignment="1" pivotButton="0" quotePrefix="0" xfId="0">
      <alignment horizontal="left" vertical="top" wrapText="1"/>
    </xf>
    <xf numFmtId="0" fontId="8" fillId="7" borderId="1" applyAlignment="1" pivotButton="0" quotePrefix="0" xfId="0">
      <alignment horizontal="left" vertical="top" wrapText="1"/>
    </xf>
    <xf numFmtId="0" fontId="8" fillId="8" borderId="1" applyAlignment="1" pivotButton="0" quotePrefix="0" xfId="0">
      <alignment horizontal="lef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2EFDA"/>
      <rgbColor rgb="FFFCE4D6"/>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D9B3"/>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29"/>
  <sheetViews>
    <sheetView showFormulas="0" showGridLines="1" showRowColHeaders="1" showZeros="1" rightToLeft="0" tabSelected="1" showOutlineSymbols="1" defaultGridColor="1" view="normal" topLeftCell="A1" colorId="64" zoomScale="100" zoomScaleNormal="100" zoomScalePageLayoutView="100" workbookViewId="0">
      <pane ySplit="1" topLeftCell="A2" activePane="bottomLeft" state="frozen"/>
      <selection pane="bottomLeft" activeCell="A1" activeCellId="0" sqref="A1"/>
    </sheetView>
  </sheetViews>
  <sheetFormatPr baseColWidth="8" defaultColWidth="8.6796875" defaultRowHeight="15" customHeight="0" zeroHeight="0" outlineLevelRow="0"/>
  <cols>
    <col width="28" customWidth="1" style="17" min="1" max="1"/>
    <col width="100" customWidth="1" style="17" min="2" max="2"/>
  </cols>
  <sheetData>
    <row r="1" ht="30" customHeight="1" s="18">
      <c r="A1" s="19" t="inlineStr">
        <is>
          <t>Tejaswini Dondeti — Portfolio Sample  •  tejaswinidondeti.github.io  •  Read-only preview — please do not edit or redistribute</t>
        </is>
      </c>
    </row>
    <row r="2" ht="17.35" customHeight="1" s="18">
      <c r="A2" s="20" t="inlineStr">
        <is>
          <t>TechStart Inc.</t>
        </is>
      </c>
    </row>
    <row r="3" ht="15" customHeight="1" s="18">
      <c r="A3" s="21" t="inlineStr">
        <is>
          <t>Statement of Applicability (SoA)</t>
        </is>
      </c>
    </row>
    <row r="4">
      <c r="A4" s="22" t="inlineStr">
        <is>
          <t>ISO/IEC 27001:2022 Annex A Controls</t>
        </is>
      </c>
    </row>
    <row r="5" ht="15" customHeight="1" s="18"/>
    <row r="6" ht="15" customHeight="1" s="18">
      <c r="A6" s="23" t="inlineStr">
        <is>
          <t>Document ID:</t>
        </is>
      </c>
      <c r="B6" s="24" t="inlineStr">
        <is>
          <t>TS-ISMS-SOA-001</t>
        </is>
      </c>
    </row>
    <row r="7" ht="15" customHeight="1" s="18">
      <c r="A7" s="23" t="inlineStr">
        <is>
          <t>Version:</t>
        </is>
      </c>
      <c r="B7" s="24" t="inlineStr">
        <is>
          <t>1.0</t>
        </is>
      </c>
    </row>
    <row r="8" ht="15" customHeight="1" s="18">
      <c r="A8" s="23" t="inlineStr">
        <is>
          <t>Effective Date:</t>
        </is>
      </c>
      <c r="B8" s="24" t="inlineStr">
        <is>
          <t>Q3 2024</t>
        </is>
      </c>
    </row>
    <row r="9" ht="26.85" customHeight="1" s="18">
      <c r="A9" s="23" t="inlineStr">
        <is>
          <t>Owner:</t>
        </is>
      </c>
      <c r="B9" s="24" t="inlineStr">
        <is>
          <t>Information Security / GRC</t>
        </is>
      </c>
    </row>
    <row r="10" ht="26.85" customHeight="1" s="18">
      <c r="A10" s="23" t="inlineStr">
        <is>
          <t>Scope:</t>
        </is>
      </c>
      <c r="B10" s="24" t="inlineStr">
        <is>
          <t>Cloud migration from on-premises to AWS; customer PII database (5M+ records); B2B SaaS platform supporting 500 employees</t>
        </is>
      </c>
    </row>
    <row r="11" ht="26.85" customHeight="1" s="18">
      <c r="A11" s="23" t="inlineStr">
        <is>
          <t>ISMS Boundary:</t>
        </is>
      </c>
      <c r="B11" s="24" t="inlineStr">
        <is>
          <t>AWS production environment (us-east-1 primary, us-west-2 DR); DMS migration pipeline; IAM identity layer; CloudTrail/GuardDuty monitoring; data residency enforcement via SCPs</t>
        </is>
      </c>
    </row>
    <row r="12" ht="26.85" customHeight="1" s="18">
      <c r="A12" s="23" t="inlineStr">
        <is>
          <t>Standards Referenced:</t>
        </is>
      </c>
      <c r="B12" s="24" t="inlineStr">
        <is>
          <t>ISO/IEC 27001:2022; ISO/IEC 27002:2022; NIST CSF v1.1; GDPR Article 32; AWS Well-Architected Security Pillar</t>
        </is>
      </c>
    </row>
    <row r="13">
      <c r="A13" s="23" t="inlineStr">
        <is>
          <t>Risk Register Linkage:</t>
        </is>
      </c>
      <c r="B13" s="24" t="inlineStr">
        <is>
          <t>R-01 Unauthorized DB Access | R-02 IAM Misconfiguration | R-03 Data Corruption in Transit | R-04 Data Residency Violation | R-05 Cutover Outage</t>
        </is>
      </c>
    </row>
    <row r="14" ht="15" customHeight="1" s="18"/>
    <row r="15" ht="15" customHeight="1" s="18">
      <c r="A15" s="25" t="inlineStr">
        <is>
          <t>Legend</t>
        </is>
      </c>
    </row>
    <row r="16" ht="15" customHeight="1" s="18">
      <c r="A16" s="23" t="inlineStr">
        <is>
          <t>Applicable</t>
        </is>
      </c>
      <c r="B16" s="24" t="inlineStr">
        <is>
          <t>Yes = Control is relevant to ISMS scope; No = Control excluded with justification</t>
        </is>
      </c>
    </row>
    <row r="17" ht="15" customHeight="1" s="18">
      <c r="A17" s="23" t="inlineStr">
        <is>
          <t>Implementation Status</t>
        </is>
      </c>
      <c r="B17" s="24" t="inlineStr">
        <is>
          <t>Implemented | Partially Implemented | Planned | Not Applicable</t>
        </is>
      </c>
    </row>
    <row r="18" ht="15" customHeight="1" s="18">
      <c r="A18" s="23" t="inlineStr">
        <is>
          <t>Justification</t>
        </is>
      </c>
      <c r="B18" s="24" t="inlineStr">
        <is>
          <t>Rationale for applicability decision, tied to scope, risks, or regulatory obligations</t>
        </is>
      </c>
    </row>
    <row r="19" ht="15" customHeight="1" s="18">
      <c r="A19" s="23" t="inlineStr">
        <is>
          <t>Evidence / Reference</t>
        </is>
      </c>
      <c r="B19" s="24" t="inlineStr">
        <is>
          <t>Artifact, policy, system, or configuration demonstrating control operation</t>
        </is>
      </c>
    </row>
    <row r="20">
      <c r="A20" s="23" t="inlineStr">
        <is>
          <t>Linked Risk(s)</t>
        </is>
      </c>
      <c r="B20" s="24" t="inlineStr">
        <is>
          <t>Risk register entries addressed by this control</t>
        </is>
      </c>
    </row>
    <row r="21" ht="15" customHeight="1" s="18"/>
    <row r="22" ht="15" customHeight="1" s="18">
      <c r="A22" s="25" t="inlineStr">
        <is>
          <t>Summary (live counts from Controls sheet)</t>
        </is>
      </c>
    </row>
    <row r="23" ht="15" customHeight="1" s="18">
      <c r="A23" s="23" t="inlineStr">
        <is>
          <t>Total Annex A controls:</t>
        </is>
      </c>
      <c r="B23" s="26">
        <f>COUNTA(Controls!A3:A95)</f>
        <v/>
      </c>
    </row>
    <row r="24" ht="15" customHeight="1" s="18">
      <c r="A24" s="23" t="inlineStr">
        <is>
          <t>Applicable (Yes):</t>
        </is>
      </c>
      <c r="B24" s="26">
        <f>COUNTIF(Controls!D3:D95,"Yes")</f>
        <v/>
      </c>
    </row>
    <row r="25" ht="15" customHeight="1" s="18">
      <c r="A25" s="23" t="inlineStr">
        <is>
          <t>Not Applicable:</t>
        </is>
      </c>
      <c r="B25" s="26">
        <f>COUNTIF(Controls!D3:D95,"No")</f>
        <v/>
      </c>
    </row>
    <row r="26" ht="15" customHeight="1" s="18">
      <c r="A26" s="23" t="inlineStr">
        <is>
          <t>Implemented:</t>
        </is>
      </c>
      <c r="B26" s="26">
        <f>COUNTIF(Controls!E3:E95,"Implemented")</f>
        <v/>
      </c>
    </row>
    <row r="27" ht="15" customHeight="1" s="18">
      <c r="A27" s="23" t="inlineStr">
        <is>
          <t>Partially Implemented:</t>
        </is>
      </c>
      <c r="B27" s="26">
        <f>COUNTIF(Controls!E3:E95,"Partially Implemented")</f>
        <v/>
      </c>
    </row>
    <row r="28" ht="15" customHeight="1" s="18">
      <c r="A28" s="23" t="inlineStr">
        <is>
          <t>Planned:</t>
        </is>
      </c>
      <c r="B28" s="26">
        <f>COUNTIF(Controls!E3:E95,"Planned")</f>
        <v/>
      </c>
    </row>
    <row r="29">
      <c r="A29" s="23" t="inlineStr">
        <is>
          <t>Not Applicable (status):</t>
        </is>
      </c>
      <c r="B29" s="26">
        <f>COUNTIF(Controls!E3:E95,"Not Applicable")</f>
        <v/>
      </c>
    </row>
  </sheetData>
  <sheetProtection selectLockedCells="0" selectUnlockedCells="0" sheet="1" objects="0" insertRows="0" insertHyperlinks="0" autoFilter="1" scenarios="0" formatColumns="0" deleteColumns="0" insertColumns="0" pivotTables="0" deleteRows="0" formatCells="0" formatRows="0" sort="1" password="96F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&amp;C&amp;10 &amp;KC2410C&amp;B&amp;"Calibri"&amp;10&amp;K592816Tejaswini Dondeti — Portfolio Sample</oddHeader>
    <oddFooter/>
    <evenHeader>&amp;C&amp;10 &amp;KC2410C&amp;B&amp;"Calibri"&amp;10&amp;K592816Tejaswini Dondeti — Portfolio Sample</evenHeader>
    <evenFooter/>
    <firstHeader/>
    <firstFooter/>
  </headerFooter>
</worksheet>
</file>

<file path=xl/worksheets/sheet2.xml><?xml version="1.0" encoding="utf-8"?>
<worksheet xmlns="http://schemas.openxmlformats.org/spreadsheetml/2006/main">
  <sheetPr filterMode="0">
    <outlinePr summaryBelow="1" summaryRight="1"/>
    <pageSetUpPr fitToPage="0"/>
  </sheetPr>
  <dimension ref="A1:I96"/>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0" customWidth="1" style="17" min="1" max="1"/>
    <col width="38" customWidth="1" style="17" min="2" max="2"/>
    <col width="22" customWidth="1" style="17" min="3" max="3"/>
    <col width="14" customWidth="1" style="17" min="4" max="4"/>
    <col width="20" customWidth="1" style="17" min="5" max="5"/>
    <col width="55" customWidth="1" style="17" min="6" max="6"/>
    <col width="45" customWidth="1" style="17" min="7" max="7"/>
    <col width="16" customWidth="1" style="17" min="8" max="8"/>
    <col width="22" customWidth="1" style="17" min="9" max="9"/>
  </cols>
  <sheetData>
    <row r="1" ht="30" customHeight="1" s="18">
      <c r="A1" s="19" t="inlineStr">
        <is>
          <t>Tejaswini Dondeti — Portfolio Sample  •  tejaswinidondeti.github.io  •  Read-only preview — please do not edit or redistribute</t>
        </is>
      </c>
    </row>
    <row r="2" ht="26.85" customHeight="1" s="18">
      <c r="A2" s="21" t="inlineStr">
        <is>
          <t>ISO/IEC 27001:2022 Annex A — Statement of Applicability</t>
        </is>
      </c>
    </row>
    <row r="3" ht="48" customHeight="1" s="18">
      <c r="A3" s="27" t="inlineStr">
        <is>
          <t>Control ID</t>
        </is>
      </c>
      <c r="B3" s="27" t="inlineStr">
        <is>
          <t>Control Name</t>
        </is>
      </c>
      <c r="C3" s="27" t="inlineStr">
        <is>
          <t>Theme</t>
        </is>
      </c>
      <c r="D3" s="27" t="inlineStr">
        <is>
          <t>Applicable (Yes/No)</t>
        </is>
      </c>
      <c r="E3" s="27" t="inlineStr">
        <is>
          <t>Implementation Status</t>
        </is>
      </c>
      <c r="F3" s="27" t="inlineStr">
        <is>
          <t>Justification</t>
        </is>
      </c>
      <c r="G3" s="27" t="inlineStr">
        <is>
          <t>Evidence / Reference</t>
        </is>
      </c>
      <c r="H3" s="27" t="inlineStr">
        <is>
          <t>Linked Risk(s)</t>
        </is>
      </c>
      <c r="I3" s="27" t="inlineStr">
        <is>
          <t>Control Owner</t>
        </is>
      </c>
    </row>
    <row r="4" ht="48" customHeight="1" s="18">
      <c r="A4" s="28" t="inlineStr">
        <is>
          <t>A.5.1</t>
        </is>
      </c>
      <c r="B4" s="28" t="inlineStr">
        <is>
          <t>Policies for information security</t>
        </is>
      </c>
      <c r="C4" s="28" t="inlineStr">
        <is>
          <t>A.5 Organizational</t>
        </is>
      </c>
      <c r="D4" s="29" t="inlineStr">
        <is>
          <t>Yes</t>
        </is>
      </c>
      <c r="E4" s="30" t="inlineStr">
        <is>
          <t>Partially Implemented</t>
        </is>
      </c>
      <c r="F4" s="28" t="inlineStr">
        <is>
          <t>Core to ISMS; required for the cloud migration program and ongoing SaaS operations.</t>
        </is>
      </c>
      <c r="G4" s="28" t="inlineStr">
        <is>
          <t>Information Security Policy v1.0 (drafted as part of this engagement); Policy approval log pending executive sign-off.</t>
        </is>
      </c>
      <c r="H4" s="28" t="inlineStr">
        <is>
          <t>R-01, R-02</t>
        </is>
      </c>
      <c r="I4" s="28" t="inlineStr">
        <is>
          <t>CISO / GRC Lead</t>
        </is>
      </c>
    </row>
    <row r="5" ht="48" customHeight="1" s="18">
      <c r="A5" s="28" t="inlineStr">
        <is>
          <t>A.5.2</t>
        </is>
      </c>
      <c r="B5" s="28" t="inlineStr">
        <is>
          <t>Information security roles and responsibilities</t>
        </is>
      </c>
      <c r="C5" s="28" t="inlineStr">
        <is>
          <t>A.5 Organizational</t>
        </is>
      </c>
      <c r="D5" s="29" t="inlineStr">
        <is>
          <t>Yes</t>
        </is>
      </c>
      <c r="E5" s="31" t="inlineStr">
        <is>
          <t>Implemented</t>
        </is>
      </c>
      <c r="F5" s="28" t="inlineStr">
        <is>
          <t>RACI established for migration; CISO, DPO, Cloud Platform Lead, DBA, and Engineering Manager roles defined.</t>
        </is>
      </c>
      <c r="G5" s="28" t="inlineStr">
        <is>
          <t>Project RACI matrix; Risk Assessment Report §3 Governance.</t>
        </is>
      </c>
      <c r="H5" s="28" t="inlineStr">
        <is>
          <t>R-01, R-02, R-03</t>
        </is>
      </c>
      <c r="I5" s="28" t="inlineStr">
        <is>
          <t>CISO / GRC Lead</t>
        </is>
      </c>
    </row>
    <row r="6" ht="48" customHeight="1" s="18">
      <c r="A6" s="28" t="inlineStr">
        <is>
          <t>A.5.3</t>
        </is>
      </c>
      <c r="B6" s="28" t="inlineStr">
        <is>
          <t>Segregation of duties</t>
        </is>
      </c>
      <c r="C6" s="28" t="inlineStr">
        <is>
          <t>A.5 Organizational</t>
        </is>
      </c>
      <c r="D6" s="29" t="inlineStr">
        <is>
          <t>Yes</t>
        </is>
      </c>
      <c r="E6" s="31" t="inlineStr">
        <is>
          <t>Implemented</t>
        </is>
      </c>
      <c r="F6" s="28" t="inlineStr">
        <is>
          <t>Required for AWS production access; prevents single-actor migration changes.</t>
        </is>
      </c>
      <c r="G6" s="28" t="inlineStr">
        <is>
          <t>IAM role separation (migration engineer vs. approver); change approval workflow in Jira.</t>
        </is>
      </c>
      <c r="H6" s="28" t="inlineStr">
        <is>
          <t>R-02</t>
        </is>
      </c>
      <c r="I6" s="28" t="inlineStr">
        <is>
          <t>Cloud Platform / SRE</t>
        </is>
      </c>
    </row>
    <row r="7" ht="48" customHeight="1" s="18">
      <c r="A7" s="28" t="inlineStr">
        <is>
          <t>A.5.4</t>
        </is>
      </c>
      <c r="B7" s="28" t="inlineStr">
        <is>
          <t>Management responsibilities</t>
        </is>
      </c>
      <c r="C7" s="28" t="inlineStr">
        <is>
          <t>A.5 Organizational</t>
        </is>
      </c>
      <c r="D7" s="29" t="inlineStr">
        <is>
          <t>Yes</t>
        </is>
      </c>
      <c r="E7" s="31" t="inlineStr">
        <is>
          <t>Implemented</t>
        </is>
      </c>
      <c r="F7" s="28" t="inlineStr">
        <is>
          <t>Executive sponsor assigned; migration steering committee meets biweekly.</t>
        </is>
      </c>
      <c r="G7" s="28" t="inlineStr">
        <is>
          <t>Steering committee minutes; executive sign-off on risk treatment plan.</t>
        </is>
      </c>
      <c r="H7" s="28" t="inlineStr">
        <is>
          <t>R-01, R-02, R-03, R-04, R-05</t>
        </is>
      </c>
      <c r="I7" s="28" t="inlineStr">
        <is>
          <t>CISO / GRC Lead</t>
        </is>
      </c>
    </row>
    <row r="8" ht="48" customHeight="1" s="18">
      <c r="A8" s="28" t="inlineStr">
        <is>
          <t>A.5.5</t>
        </is>
      </c>
      <c r="B8" s="28" t="inlineStr">
        <is>
          <t>Contact with authorities</t>
        </is>
      </c>
      <c r="C8" s="28" t="inlineStr">
        <is>
          <t>A.5 Organizational</t>
        </is>
      </c>
      <c r="D8" s="29" t="inlineStr">
        <is>
          <t>Yes</t>
        </is>
      </c>
      <c r="E8" s="30" t="inlineStr">
        <is>
          <t>Partially Implemented</t>
        </is>
      </c>
      <c r="F8" s="28" t="inlineStr">
        <is>
          <t>Required for GDPR/CCPA breach notification obligations given 5M+ PII records.</t>
        </is>
      </c>
      <c r="G8" s="28" t="inlineStr">
        <is>
          <t>DPO contact register; draft breach-notification playbook.</t>
        </is>
      </c>
      <c r="H8" s="28" t="inlineStr">
        <is>
          <t>R-01, R-04</t>
        </is>
      </c>
      <c r="I8" s="28" t="inlineStr">
        <is>
          <t>Data Protection Officer</t>
        </is>
      </c>
    </row>
    <row r="9" ht="48" customHeight="1" s="18">
      <c r="A9" s="28" t="inlineStr">
        <is>
          <t>A.5.6</t>
        </is>
      </c>
      <c r="B9" s="28" t="inlineStr">
        <is>
          <t>Contact with special interest groups</t>
        </is>
      </c>
      <c r="C9" s="28" t="inlineStr">
        <is>
          <t>A.5 Organizational</t>
        </is>
      </c>
      <c r="D9" s="29" t="inlineStr">
        <is>
          <t>Yes</t>
        </is>
      </c>
      <c r="E9" s="32" t="inlineStr">
        <is>
          <t>Planned</t>
        </is>
      </c>
      <c r="F9" s="28" t="inlineStr">
        <is>
          <t>AWS Security Bulletins, ISACA, and SANS subscriptions scheduled for ISMS operational phase.</t>
        </is>
      </c>
      <c r="G9" s="28" t="inlineStr">
        <is>
          <t>Planned subscription list in ISMS operating plan.</t>
        </is>
      </c>
      <c r="H9" s="28" t="inlineStr">
        <is>
          <t>R-01</t>
        </is>
      </c>
      <c r="I9" s="28" t="inlineStr">
        <is>
          <t>CISO / GRC Lead</t>
        </is>
      </c>
    </row>
    <row r="10" ht="48" customHeight="1" s="18">
      <c r="A10" s="28" t="inlineStr">
        <is>
          <t>A.5.7</t>
        </is>
      </c>
      <c r="B10" s="28" t="inlineStr">
        <is>
          <t>Threat intelligence</t>
        </is>
      </c>
      <c r="C10" s="28" t="inlineStr">
        <is>
          <t>A.5 Organizational</t>
        </is>
      </c>
      <c r="D10" s="29" t="inlineStr">
        <is>
          <t>Yes</t>
        </is>
      </c>
      <c r="E10" s="32" t="inlineStr">
        <is>
          <t>Planned</t>
        </is>
      </c>
      <c r="F10" s="28" t="inlineStr">
        <is>
          <t>AWS GuardDuty feeds to be consumed into SIEM post-migration; manual review in interim.</t>
        </is>
      </c>
      <c r="G10" s="28" t="inlineStr">
        <is>
          <t>GuardDuty enablement ticket; SIEM onboarding backlog item.</t>
        </is>
      </c>
      <c r="H10" s="28" t="inlineStr">
        <is>
          <t>R-01, R-02</t>
        </is>
      </c>
      <c r="I10" s="28" t="inlineStr">
        <is>
          <t>Cloud Platform / SRE</t>
        </is>
      </c>
    </row>
    <row r="11" ht="48" customHeight="1" s="18">
      <c r="A11" s="28" t="inlineStr">
        <is>
          <t>A.5.8</t>
        </is>
      </c>
      <c r="B11" s="28" t="inlineStr">
        <is>
          <t>Information security in project management</t>
        </is>
      </c>
      <c r="C11" s="28" t="inlineStr">
        <is>
          <t>A.5 Organizational</t>
        </is>
      </c>
      <c r="D11" s="29" t="inlineStr">
        <is>
          <t>Yes</t>
        </is>
      </c>
      <c r="E11" s="31" t="inlineStr">
        <is>
          <t>Implemented</t>
        </is>
      </c>
      <c r="F11" s="28" t="inlineStr">
        <is>
          <t>Migration project embedded security from design phase; this risk assessment itself is the evidence.</t>
        </is>
      </c>
      <c r="G11" s="28" t="inlineStr">
        <is>
          <t>Risk Assessment Report; security checkpoints in migration runbook.</t>
        </is>
      </c>
      <c r="H11" s="28" t="inlineStr">
        <is>
          <t>R-01, R-02, R-03, R-04, R-05</t>
        </is>
      </c>
      <c r="I11" s="28" t="inlineStr">
        <is>
          <t>CISO / GRC Lead</t>
        </is>
      </c>
    </row>
    <row r="12" ht="48" customHeight="1" s="18">
      <c r="A12" s="28" t="inlineStr">
        <is>
          <t>A.5.9</t>
        </is>
      </c>
      <c r="B12" s="28" t="inlineStr">
        <is>
          <t>Inventory of information and other associated assets</t>
        </is>
      </c>
      <c r="C12" s="28" t="inlineStr">
        <is>
          <t>A.5 Organizational</t>
        </is>
      </c>
      <c r="D12" s="29" t="inlineStr">
        <is>
          <t>Yes</t>
        </is>
      </c>
      <c r="E12" s="31" t="inlineStr">
        <is>
          <t>Implemented</t>
        </is>
      </c>
      <c r="F12" s="28" t="inlineStr">
        <is>
          <t>Critical assets catalogued: customer PII DB, DMS pipeline, IAM identity layer.</t>
        </is>
      </c>
      <c r="G12" s="28" t="inlineStr">
        <is>
          <t>Asset inventory (Risk Assessment Report §4).</t>
        </is>
      </c>
      <c r="H12" s="28" t="inlineStr">
        <is>
          <t>R-01, R-03</t>
        </is>
      </c>
      <c r="I12" s="28" t="inlineStr">
        <is>
          <t>Cloud Platform / SRE</t>
        </is>
      </c>
    </row>
    <row r="13" ht="48" customHeight="1" s="18">
      <c r="A13" s="28" t="inlineStr">
        <is>
          <t>A.5.10</t>
        </is>
      </c>
      <c r="B13" s="28" t="inlineStr">
        <is>
          <t>Acceptable use of information and other associated assets</t>
        </is>
      </c>
      <c r="C13" s="28" t="inlineStr">
        <is>
          <t>A.5 Organizational</t>
        </is>
      </c>
      <c r="D13" s="29" t="inlineStr">
        <is>
          <t>Yes</t>
        </is>
      </c>
      <c r="E13" s="30" t="inlineStr">
        <is>
          <t>Partially Implemented</t>
        </is>
      </c>
      <c r="F13" s="28" t="inlineStr">
        <is>
          <t>Existing AUP carried over; AWS-specific acceptable use being appended.</t>
        </is>
      </c>
      <c r="G13" s="28" t="inlineStr">
        <is>
          <t>Current AUP; AWS acceptable use addendum (draft).</t>
        </is>
      </c>
      <c r="H13" s="28" t="inlineStr">
        <is>
          <t>R-02</t>
        </is>
      </c>
      <c r="I13" s="28" t="inlineStr">
        <is>
          <t>CISO / GRC Lead</t>
        </is>
      </c>
    </row>
    <row r="14" ht="48" customHeight="1" s="18">
      <c r="A14" s="28" t="inlineStr">
        <is>
          <t>A.5.11</t>
        </is>
      </c>
      <c r="B14" s="28" t="inlineStr">
        <is>
          <t>Return of assets</t>
        </is>
      </c>
      <c r="C14" s="28" t="inlineStr">
        <is>
          <t>A.5 Organizational</t>
        </is>
      </c>
      <c r="D14" s="29" t="inlineStr">
        <is>
          <t>Yes</t>
        </is>
      </c>
      <c r="E14" s="31" t="inlineStr">
        <is>
          <t>Implemented</t>
        </is>
      </c>
      <c r="F14" s="28" t="inlineStr">
        <is>
          <t>HR offboarding process includes laptop return and SSO deprovisioning.</t>
        </is>
      </c>
      <c r="G14" s="28" t="inlineStr">
        <is>
          <t>Offboarding checklist; SSO deprovisioning SLA.</t>
        </is>
      </c>
      <c r="H14" s="28" t="inlineStr">
        <is>
          <t>R-02</t>
        </is>
      </c>
      <c r="I14" s="28" t="inlineStr">
        <is>
          <t>HR / People Ops</t>
        </is>
      </c>
    </row>
    <row r="15" ht="48" customHeight="1" s="18">
      <c r="A15" s="28" t="inlineStr">
        <is>
          <t>A.5.12</t>
        </is>
      </c>
      <c r="B15" s="28" t="inlineStr">
        <is>
          <t>Classification of information</t>
        </is>
      </c>
      <c r="C15" s="28" t="inlineStr">
        <is>
          <t>A.5 Organizational</t>
        </is>
      </c>
      <c r="D15" s="29" t="inlineStr">
        <is>
          <t>Yes</t>
        </is>
      </c>
      <c r="E15" s="31" t="inlineStr">
        <is>
          <t>Implemented</t>
        </is>
      </c>
      <c r="F15" s="28" t="inlineStr">
        <is>
          <t>Four-tier scheme applied: Public / Internal / Confidential / Restricted (PII).</t>
        </is>
      </c>
      <c r="G15" s="28" t="inlineStr">
        <is>
          <t>Data Classification &amp; Handling Policy v1.0.</t>
        </is>
      </c>
      <c r="H15" s="28" t="inlineStr">
        <is>
          <t>R-01, R-03, R-04</t>
        </is>
      </c>
      <c r="I15" s="28" t="inlineStr">
        <is>
          <t>Data Protection Officer</t>
        </is>
      </c>
    </row>
    <row r="16" ht="48" customHeight="1" s="18">
      <c r="A16" s="28" t="inlineStr">
        <is>
          <t>A.5.13</t>
        </is>
      </c>
      <c r="B16" s="28" t="inlineStr">
        <is>
          <t>Labelling of information</t>
        </is>
      </c>
      <c r="C16" s="28" t="inlineStr">
        <is>
          <t>A.5 Organizational</t>
        </is>
      </c>
      <c r="D16" s="29" t="inlineStr">
        <is>
          <t>Yes</t>
        </is>
      </c>
      <c r="E16" s="30" t="inlineStr">
        <is>
          <t>Partially Implemented</t>
        </is>
      </c>
      <c r="F16" s="28" t="inlineStr">
        <is>
          <t>Database columns tagged with classification metadata; document labelling rolling out.</t>
        </is>
      </c>
      <c r="G16" s="28" t="inlineStr">
        <is>
          <t>RDS tag schema; Confluence label template.</t>
        </is>
      </c>
      <c r="H16" s="28" t="inlineStr">
        <is>
          <t>R-01, R-03</t>
        </is>
      </c>
      <c r="I16" s="28" t="inlineStr">
        <is>
          <t>Data Protection Officer</t>
        </is>
      </c>
    </row>
    <row r="17" ht="48" customHeight="1" s="18">
      <c r="A17" s="28" t="inlineStr">
        <is>
          <t>A.5.14</t>
        </is>
      </c>
      <c r="B17" s="28" t="inlineStr">
        <is>
          <t>Information transfer</t>
        </is>
      </c>
      <c r="C17" s="28" t="inlineStr">
        <is>
          <t>A.5 Organizational</t>
        </is>
      </c>
      <c r="D17" s="29" t="inlineStr">
        <is>
          <t>Yes</t>
        </is>
      </c>
      <c r="E17" s="31" t="inlineStr">
        <is>
          <t>Implemented</t>
        </is>
      </c>
      <c r="F17" s="28" t="inlineStr">
        <is>
          <t>DMS pipeline uses TLS 1.2+; customer data transfers governed by DPA addenda.</t>
        </is>
      </c>
      <c r="G17" s="28" t="inlineStr">
        <is>
          <t>DMS endpoint config; signed DPAs with top 10 customers.</t>
        </is>
      </c>
      <c r="H17" s="28" t="inlineStr">
        <is>
          <t>R-03, R-04</t>
        </is>
      </c>
      <c r="I17" s="28" t="inlineStr">
        <is>
          <t>Cloud Platform / SRE</t>
        </is>
      </c>
    </row>
    <row r="18" ht="48" customHeight="1" s="18">
      <c r="A18" s="28" t="inlineStr">
        <is>
          <t>A.5.15</t>
        </is>
      </c>
      <c r="B18" s="28" t="inlineStr">
        <is>
          <t>Access control</t>
        </is>
      </c>
      <c r="C18" s="28" t="inlineStr">
        <is>
          <t>A.5 Organizational</t>
        </is>
      </c>
      <c r="D18" s="29" t="inlineStr">
        <is>
          <t>Yes</t>
        </is>
      </c>
      <c r="E18" s="31" t="inlineStr">
        <is>
          <t>Implemented</t>
        </is>
      </c>
      <c r="F18" s="28" t="inlineStr">
        <is>
          <t>Role-based access enforced via AWS IAM and SSO; directly addresses R-01 and R-02.</t>
        </is>
      </c>
      <c r="G18" s="28" t="inlineStr">
        <is>
          <t>Access Control Policy v1.0; IAM role definitions.</t>
        </is>
      </c>
      <c r="H18" s="28" t="inlineStr">
        <is>
          <t>R-01, R-02</t>
        </is>
      </c>
      <c r="I18" s="28" t="inlineStr">
        <is>
          <t>Cloud Platform / SRE</t>
        </is>
      </c>
    </row>
    <row r="19" ht="48" customHeight="1" s="18">
      <c r="A19" s="28" t="inlineStr">
        <is>
          <t>A.5.16</t>
        </is>
      </c>
      <c r="B19" s="28" t="inlineStr">
        <is>
          <t>Identity management</t>
        </is>
      </c>
      <c r="C19" s="28" t="inlineStr">
        <is>
          <t>A.5 Organizational</t>
        </is>
      </c>
      <c r="D19" s="29" t="inlineStr">
        <is>
          <t>Yes</t>
        </is>
      </c>
      <c r="E19" s="31" t="inlineStr">
        <is>
          <t>Implemented</t>
        </is>
      </c>
      <c r="F19" s="28" t="inlineStr">
        <is>
          <t>Okta SSO federated to AWS; unique identities per human and workload.</t>
        </is>
      </c>
      <c r="G19" s="28" t="inlineStr">
        <is>
          <t>Okta-AWS federation config; service account register.</t>
        </is>
      </c>
      <c r="H19" s="28" t="inlineStr">
        <is>
          <t>R-01, R-02</t>
        </is>
      </c>
      <c r="I19" s="28" t="inlineStr">
        <is>
          <t>Cloud Platform / SRE</t>
        </is>
      </c>
    </row>
    <row r="20" ht="48" customHeight="1" s="18">
      <c r="A20" s="28" t="inlineStr">
        <is>
          <t>A.5.17</t>
        </is>
      </c>
      <c r="B20" s="28" t="inlineStr">
        <is>
          <t>Authentication information</t>
        </is>
      </c>
      <c r="C20" s="28" t="inlineStr">
        <is>
          <t>A.5 Organizational</t>
        </is>
      </c>
      <c r="D20" s="29" t="inlineStr">
        <is>
          <t>Yes</t>
        </is>
      </c>
      <c r="E20" s="31" t="inlineStr">
        <is>
          <t>Implemented</t>
        </is>
      </c>
      <c r="F20" s="28" t="inlineStr">
        <is>
          <t>MFA enforced for all AWS console users and privileged CLI access.</t>
        </is>
      </c>
      <c r="G20" s="28" t="inlineStr">
        <is>
          <t>IAM MFA policy; Okta MFA enforcement report.</t>
        </is>
      </c>
      <c r="H20" s="28" t="inlineStr">
        <is>
          <t>R-01, R-02</t>
        </is>
      </c>
      <c r="I20" s="28" t="inlineStr">
        <is>
          <t>Cloud Platform / SRE</t>
        </is>
      </c>
    </row>
    <row r="21" ht="48" customHeight="1" s="18">
      <c r="A21" s="28" t="inlineStr">
        <is>
          <t>A.5.18</t>
        </is>
      </c>
      <c r="B21" s="28" t="inlineStr">
        <is>
          <t>Access rights</t>
        </is>
      </c>
      <c r="C21" s="28" t="inlineStr">
        <is>
          <t>A.5 Organizational</t>
        </is>
      </c>
      <c r="D21" s="29" t="inlineStr">
        <is>
          <t>Yes</t>
        </is>
      </c>
      <c r="E21" s="30" t="inlineStr">
        <is>
          <t>Partially Implemented</t>
        </is>
      </c>
      <c r="F21" s="28" t="inlineStr">
        <is>
          <t>Quarterly access reviews defined; first review scheduled post-cutover.</t>
        </is>
      </c>
      <c r="G21" s="28" t="inlineStr">
        <is>
          <t>Access review calendar; IAM Access Analyzer findings.</t>
        </is>
      </c>
      <c r="H21" s="28" t="inlineStr">
        <is>
          <t>R-01, R-02</t>
        </is>
      </c>
      <c r="I21" s="28" t="inlineStr">
        <is>
          <t>Cloud Platform / SRE</t>
        </is>
      </c>
    </row>
    <row r="22" ht="48" customHeight="1" s="18">
      <c r="A22" s="28" t="inlineStr">
        <is>
          <t>A.5.19</t>
        </is>
      </c>
      <c r="B22" s="28" t="inlineStr">
        <is>
          <t>Information security in supplier relationships</t>
        </is>
      </c>
      <c r="C22" s="28" t="inlineStr">
        <is>
          <t>A.5 Organizational</t>
        </is>
      </c>
      <c r="D22" s="29" t="inlineStr">
        <is>
          <t>Yes</t>
        </is>
      </c>
      <c r="E22" s="30" t="inlineStr">
        <is>
          <t>Partially Implemented</t>
        </is>
      </c>
      <c r="F22" s="28" t="inlineStr">
        <is>
          <t>AWS (processor) assessed via SOC 2 Type II; DMS sub-processor approved.</t>
        </is>
      </c>
      <c r="G22" s="28" t="inlineStr">
        <is>
          <t>AWS SOC 2 report on file; vendor risk register entry.</t>
        </is>
      </c>
      <c r="H22" s="28" t="inlineStr">
        <is>
          <t>R-04</t>
        </is>
      </c>
      <c r="I22" s="28" t="inlineStr">
        <is>
          <t>Legal / Compliance</t>
        </is>
      </c>
    </row>
    <row r="23" ht="48" customHeight="1" s="18">
      <c r="A23" s="28" t="inlineStr">
        <is>
          <t>A.5.20</t>
        </is>
      </c>
      <c r="B23" s="28" t="inlineStr">
        <is>
          <t>Addressing information security within supplier agreements</t>
        </is>
      </c>
      <c r="C23" s="28" t="inlineStr">
        <is>
          <t>A.5 Organizational</t>
        </is>
      </c>
      <c r="D23" s="29" t="inlineStr">
        <is>
          <t>Yes</t>
        </is>
      </c>
      <c r="E23" s="31" t="inlineStr">
        <is>
          <t>Implemented</t>
        </is>
      </c>
      <c r="F23" s="28" t="inlineStr">
        <is>
          <t>AWS Enterprise Agreement and DPA executed; security clauses reviewed by Legal.</t>
        </is>
      </c>
      <c r="G23" s="28" t="inlineStr">
        <is>
          <t>Executed AWS EA; DPA with GDPR Article 28 clauses.</t>
        </is>
      </c>
      <c r="H23" s="28" t="inlineStr">
        <is>
          <t>R-04</t>
        </is>
      </c>
      <c r="I23" s="28" t="inlineStr">
        <is>
          <t>Legal / Compliance</t>
        </is>
      </c>
    </row>
    <row r="24" ht="48" customHeight="1" s="18">
      <c r="A24" s="28" t="inlineStr">
        <is>
          <t>A.5.21</t>
        </is>
      </c>
      <c r="B24" s="28" t="inlineStr">
        <is>
          <t>Managing information security in the ICT supply chain</t>
        </is>
      </c>
      <c r="C24" s="28" t="inlineStr">
        <is>
          <t>A.5 Organizational</t>
        </is>
      </c>
      <c r="D24" s="29" t="inlineStr">
        <is>
          <t>Yes</t>
        </is>
      </c>
      <c r="E24" s="30" t="inlineStr">
        <is>
          <t>Partially Implemented</t>
        </is>
      </c>
      <c r="F24" s="28" t="inlineStr">
        <is>
          <t>Primary dependency is AWS; secondary dependencies (CDN, SSO) tracked in vendor register.</t>
        </is>
      </c>
      <c r="G24" s="28" t="inlineStr">
        <is>
          <t>Vendor register; dependency map.</t>
        </is>
      </c>
      <c r="H24" s="28" t="inlineStr">
        <is>
          <t>R-01, R-04</t>
        </is>
      </c>
      <c r="I24" s="28" t="inlineStr">
        <is>
          <t>Legal / Compliance</t>
        </is>
      </c>
    </row>
    <row r="25" ht="48" customHeight="1" s="18">
      <c r="A25" s="28" t="inlineStr">
        <is>
          <t>A.5.22</t>
        </is>
      </c>
      <c r="B25" s="28" t="inlineStr">
        <is>
          <t>Monitoring, review and change management of supplier services</t>
        </is>
      </c>
      <c r="C25" s="28" t="inlineStr">
        <is>
          <t>A.5 Organizational</t>
        </is>
      </c>
      <c r="D25" s="29" t="inlineStr">
        <is>
          <t>Yes</t>
        </is>
      </c>
      <c r="E25" s="32" t="inlineStr">
        <is>
          <t>Planned</t>
        </is>
      </c>
      <c r="F25" s="28" t="inlineStr">
        <is>
          <t>Annual SOC 2 refresh cycle defined; first review scheduled 12 months post-migration.</t>
        </is>
      </c>
      <c r="G25" s="28" t="inlineStr">
        <is>
          <t>Vendor review calendar.</t>
        </is>
      </c>
      <c r="H25" s="28" t="inlineStr">
        <is>
          <t>R-04</t>
        </is>
      </c>
      <c r="I25" s="28" t="inlineStr">
        <is>
          <t>Legal / Compliance</t>
        </is>
      </c>
    </row>
    <row r="26" ht="48" customHeight="1" s="18">
      <c r="A26" s="28" t="inlineStr">
        <is>
          <t>A.5.23</t>
        </is>
      </c>
      <c r="B26" s="28" t="inlineStr">
        <is>
          <t>Information security for use of cloud services</t>
        </is>
      </c>
      <c r="C26" s="28" t="inlineStr">
        <is>
          <t>A.5 Organizational</t>
        </is>
      </c>
      <c r="D26" s="29" t="inlineStr">
        <is>
          <t>Yes</t>
        </is>
      </c>
      <c r="E26" s="31" t="inlineStr">
        <is>
          <t>Implemented</t>
        </is>
      </c>
      <c r="F26" s="28" t="inlineStr">
        <is>
          <t>AWS Well-Architected Security Pillar review completed; CIS AWS Foundations benchmark applied.</t>
        </is>
      </c>
      <c r="G26" s="28" t="inlineStr">
        <is>
          <t>Well-Architected review report; Config conformance pack.</t>
        </is>
      </c>
      <c r="H26" s="28" t="inlineStr">
        <is>
          <t>R-01, R-02, R-04</t>
        </is>
      </c>
      <c r="I26" s="28" t="inlineStr">
        <is>
          <t>Cloud Platform / SRE</t>
        </is>
      </c>
    </row>
    <row r="27" ht="48" customHeight="1" s="18">
      <c r="A27" s="28" t="inlineStr">
        <is>
          <t>A.5.24</t>
        </is>
      </c>
      <c r="B27" s="28" t="inlineStr">
        <is>
          <t>Information security incident management planning and preparation</t>
        </is>
      </c>
      <c r="C27" s="28" t="inlineStr">
        <is>
          <t>A.5 Organizational</t>
        </is>
      </c>
      <c r="D27" s="29" t="inlineStr">
        <is>
          <t>Yes</t>
        </is>
      </c>
      <c r="E27" s="30" t="inlineStr">
        <is>
          <t>Partially Implemented</t>
        </is>
      </c>
      <c r="F27" s="28" t="inlineStr">
        <is>
          <t>Incident Response Plan drafted; tabletop scheduled pre-cutover.</t>
        </is>
      </c>
      <c r="G27" s="28" t="inlineStr">
        <is>
          <t>IR Plan v0.9; tabletop exercise plan.</t>
        </is>
      </c>
      <c r="H27" s="28" t="inlineStr">
        <is>
          <t>R-01, R-05</t>
        </is>
      </c>
      <c r="I27" s="28" t="inlineStr">
        <is>
          <t>CISO / GRC Lead</t>
        </is>
      </c>
    </row>
    <row r="28" ht="48" customHeight="1" s="18">
      <c r="A28" s="28" t="inlineStr">
        <is>
          <t>A.5.25</t>
        </is>
      </c>
      <c r="B28" s="28" t="inlineStr">
        <is>
          <t>Assessment and decision on information security events</t>
        </is>
      </c>
      <c r="C28" s="28" t="inlineStr">
        <is>
          <t>A.5 Organizational</t>
        </is>
      </c>
      <c r="D28" s="29" t="inlineStr">
        <is>
          <t>Yes</t>
        </is>
      </c>
      <c r="E28" s="30" t="inlineStr">
        <is>
          <t>Partially Implemented</t>
        </is>
      </c>
      <c r="F28" s="28" t="inlineStr">
        <is>
          <t>GuardDuty alerts triaged by on-call SRE with security escalation criteria.</t>
        </is>
      </c>
      <c r="G28" s="28" t="inlineStr">
        <is>
          <t>Triage runbook; PagerDuty escalation policy.</t>
        </is>
      </c>
      <c r="H28" s="28" t="inlineStr">
        <is>
          <t>R-01, R-05</t>
        </is>
      </c>
      <c r="I28" s="28" t="inlineStr">
        <is>
          <t>Cloud Platform / SRE</t>
        </is>
      </c>
    </row>
    <row r="29" ht="48" customHeight="1" s="18">
      <c r="A29" s="28" t="inlineStr">
        <is>
          <t>A.5.26</t>
        </is>
      </c>
      <c r="B29" s="28" t="inlineStr">
        <is>
          <t>Response to information security incidents</t>
        </is>
      </c>
      <c r="C29" s="28" t="inlineStr">
        <is>
          <t>A.5 Organizational</t>
        </is>
      </c>
      <c r="D29" s="29" t="inlineStr">
        <is>
          <t>Yes</t>
        </is>
      </c>
      <c r="E29" s="30" t="inlineStr">
        <is>
          <t>Partially Implemented</t>
        </is>
      </c>
      <c r="F29" s="28" t="inlineStr">
        <is>
          <t>Severity-based response playbooks under development for top 5 scenarios.</t>
        </is>
      </c>
      <c r="G29" s="28" t="inlineStr">
        <is>
          <t>IR playbooks (data breach, ransomware, misconfig).</t>
        </is>
      </c>
      <c r="H29" s="28" t="inlineStr">
        <is>
          <t>R-01, R-05</t>
        </is>
      </c>
      <c r="I29" s="28" t="inlineStr">
        <is>
          <t>CISO / GRC Lead</t>
        </is>
      </c>
    </row>
    <row r="30" ht="48" customHeight="1" s="18">
      <c r="A30" s="28" t="inlineStr">
        <is>
          <t>A.5.27</t>
        </is>
      </c>
      <c r="B30" s="28" t="inlineStr">
        <is>
          <t>Learning from information security incidents</t>
        </is>
      </c>
      <c r="C30" s="28" t="inlineStr">
        <is>
          <t>A.5 Organizational</t>
        </is>
      </c>
      <c r="D30" s="29" t="inlineStr">
        <is>
          <t>Yes</t>
        </is>
      </c>
      <c r="E30" s="32" t="inlineStr">
        <is>
          <t>Planned</t>
        </is>
      </c>
      <c r="F30" s="28" t="inlineStr">
        <is>
          <t>Post-incident review template defined; to be exercised after first event or tabletop.</t>
        </is>
      </c>
      <c r="G30" s="28" t="inlineStr">
        <is>
          <t>PIR template.</t>
        </is>
      </c>
      <c r="H30" s="28" t="inlineStr">
        <is>
          <t>R-01, R-05</t>
        </is>
      </c>
      <c r="I30" s="28" t="inlineStr">
        <is>
          <t>CISO / GRC Lead</t>
        </is>
      </c>
    </row>
    <row r="31" ht="48" customHeight="1" s="18">
      <c r="A31" s="28" t="inlineStr">
        <is>
          <t>A.5.28</t>
        </is>
      </c>
      <c r="B31" s="28" t="inlineStr">
        <is>
          <t>Collection of evidence</t>
        </is>
      </c>
      <c r="C31" s="28" t="inlineStr">
        <is>
          <t>A.5 Organizational</t>
        </is>
      </c>
      <c r="D31" s="29" t="inlineStr">
        <is>
          <t>Yes</t>
        </is>
      </c>
      <c r="E31" s="30" t="inlineStr">
        <is>
          <t>Partially Implemented</t>
        </is>
      </c>
      <c r="F31" s="28" t="inlineStr">
        <is>
          <t>CloudTrail + S3 Object Lock configured for forensic retention (1 year, WORM).</t>
        </is>
      </c>
      <c r="G31" s="28" t="inlineStr">
        <is>
          <t>CloudTrail config; S3 bucket policy.</t>
        </is>
      </c>
      <c r="H31" s="28" t="inlineStr">
        <is>
          <t>R-01, R-02</t>
        </is>
      </c>
      <c r="I31" s="28" t="inlineStr">
        <is>
          <t>Cloud Platform / SRE</t>
        </is>
      </c>
    </row>
    <row r="32" ht="48" customHeight="1" s="18">
      <c r="A32" s="28" t="inlineStr">
        <is>
          <t>A.5.29</t>
        </is>
      </c>
      <c r="B32" s="28" t="inlineStr">
        <is>
          <t>Information security during disruption</t>
        </is>
      </c>
      <c r="C32" s="28" t="inlineStr">
        <is>
          <t>A.5 Organizational</t>
        </is>
      </c>
      <c r="D32" s="29" t="inlineStr">
        <is>
          <t>Yes</t>
        </is>
      </c>
      <c r="E32" s="30" t="inlineStr">
        <is>
          <t>Partially Implemented</t>
        </is>
      </c>
      <c r="F32" s="28" t="inlineStr">
        <is>
          <t>Cutover runbook includes rollback path; broader BCP refresh scheduled Q4 2024.</t>
        </is>
      </c>
      <c r="G32" s="28" t="inlineStr">
        <is>
          <t>Cutover runbook v2; BCP project charter.</t>
        </is>
      </c>
      <c r="H32" s="28" t="inlineStr">
        <is>
          <t>R-05</t>
        </is>
      </c>
      <c r="I32" s="28" t="inlineStr">
        <is>
          <t>CISO / GRC Lead</t>
        </is>
      </c>
    </row>
    <row r="33" ht="48" customHeight="1" s="18">
      <c r="A33" s="28" t="inlineStr">
        <is>
          <t>A.5.30</t>
        </is>
      </c>
      <c r="B33" s="28" t="inlineStr">
        <is>
          <t>ICT readiness for business continuity</t>
        </is>
      </c>
      <c r="C33" s="28" t="inlineStr">
        <is>
          <t>A.5 Organizational</t>
        </is>
      </c>
      <c r="D33" s="29" t="inlineStr">
        <is>
          <t>Yes</t>
        </is>
      </c>
      <c r="E33" s="31" t="inlineStr">
        <is>
          <t>Implemented</t>
        </is>
      </c>
      <c r="F33" s="28" t="inlineStr">
        <is>
          <t>Multi-AZ RDS with automated backups; documented RTO 4h / RPO 1h for cutover window.</t>
        </is>
      </c>
      <c r="G33" s="28" t="inlineStr">
        <is>
          <t>RDS Multi-AZ config; BC/DR requirements doc.</t>
        </is>
      </c>
      <c r="H33" s="28" t="inlineStr">
        <is>
          <t>R-03, R-05</t>
        </is>
      </c>
      <c r="I33" s="28" t="inlineStr">
        <is>
          <t>Cloud Platform / SRE</t>
        </is>
      </c>
    </row>
    <row r="34" ht="48" customHeight="1" s="18">
      <c r="A34" s="28" t="inlineStr">
        <is>
          <t>A.5.31</t>
        </is>
      </c>
      <c r="B34" s="28" t="inlineStr">
        <is>
          <t>Legal, statutory, regulatory and contractual requirements</t>
        </is>
      </c>
      <c r="C34" s="28" t="inlineStr">
        <is>
          <t>A.5 Organizational</t>
        </is>
      </c>
      <c r="D34" s="29" t="inlineStr">
        <is>
          <t>Yes</t>
        </is>
      </c>
      <c r="E34" s="31" t="inlineStr">
        <is>
          <t>Implemented</t>
        </is>
      </c>
      <c r="F34" s="28" t="inlineStr">
        <is>
          <t>GDPR, CCPA, and customer DPA obligations catalogued; data residency enforced via SCPs.</t>
        </is>
      </c>
      <c r="G34" s="28" t="inlineStr">
        <is>
          <t>Legal obligations register; SCP policy set.</t>
        </is>
      </c>
      <c r="H34" s="28" t="inlineStr">
        <is>
          <t>R-04</t>
        </is>
      </c>
      <c r="I34" s="28" t="inlineStr">
        <is>
          <t>Legal / Compliance</t>
        </is>
      </c>
    </row>
    <row r="35" ht="48" customHeight="1" s="18">
      <c r="A35" s="28" t="inlineStr">
        <is>
          <t>A.5.32</t>
        </is>
      </c>
      <c r="B35" s="28" t="inlineStr">
        <is>
          <t>Intellectual property rights</t>
        </is>
      </c>
      <c r="C35" s="28" t="inlineStr">
        <is>
          <t>A.5 Organizational</t>
        </is>
      </c>
      <c r="D35" s="29" t="inlineStr">
        <is>
          <t>Yes</t>
        </is>
      </c>
      <c r="E35" s="31" t="inlineStr">
        <is>
          <t>Implemented</t>
        </is>
      </c>
      <c r="F35" s="28" t="inlineStr">
        <is>
          <t>Open-source license inventory maintained; no GPL in distributed code.</t>
        </is>
      </c>
      <c r="G35" s="28" t="inlineStr">
        <is>
          <t>SBOM; license scan reports.</t>
        </is>
      </c>
      <c r="H35" s="28" t="n"/>
      <c r="I35" s="28" t="inlineStr">
        <is>
          <t>Legal / Compliance</t>
        </is>
      </c>
    </row>
    <row r="36" ht="48" customHeight="1" s="18">
      <c r="A36" s="28" t="inlineStr">
        <is>
          <t>A.5.33</t>
        </is>
      </c>
      <c r="B36" s="28" t="inlineStr">
        <is>
          <t>Protection of records</t>
        </is>
      </c>
      <c r="C36" s="28" t="inlineStr">
        <is>
          <t>A.5 Organizational</t>
        </is>
      </c>
      <c r="D36" s="29" t="inlineStr">
        <is>
          <t>Yes</t>
        </is>
      </c>
      <c r="E36" s="31" t="inlineStr">
        <is>
          <t>Implemented</t>
        </is>
      </c>
      <c r="F36" s="28" t="inlineStr">
        <is>
          <t>Customer records encrypted at rest (KMS) and in transit (TLS); retention schedule defined.</t>
        </is>
      </c>
      <c r="G36" s="28" t="inlineStr">
        <is>
          <t>KMS key policies; retention schedule.</t>
        </is>
      </c>
      <c r="H36" s="28" t="inlineStr">
        <is>
          <t>R-01, R-03, R-04</t>
        </is>
      </c>
      <c r="I36" s="28" t="inlineStr">
        <is>
          <t>Data Protection Officer</t>
        </is>
      </c>
    </row>
    <row r="37" ht="48" customHeight="1" s="18">
      <c r="A37" s="28" t="inlineStr">
        <is>
          <t>A.5.34</t>
        </is>
      </c>
      <c r="B37" s="28" t="inlineStr">
        <is>
          <t>Privacy and protection of PII</t>
        </is>
      </c>
      <c r="C37" s="28" t="inlineStr">
        <is>
          <t>A.5 Organizational</t>
        </is>
      </c>
      <c r="D37" s="29" t="inlineStr">
        <is>
          <t>Yes</t>
        </is>
      </c>
      <c r="E37" s="31" t="inlineStr">
        <is>
          <t>Implemented</t>
        </is>
      </c>
      <c r="F37" s="28" t="inlineStr">
        <is>
          <t>DPIA completed for migration; 5M+ PII records covered under GDPR Article 35 threshold.</t>
        </is>
      </c>
      <c r="G37" s="28" t="inlineStr">
        <is>
          <t>DPIA report; privacy notice v3.</t>
        </is>
      </c>
      <c r="H37" s="28" t="inlineStr">
        <is>
          <t>R-01, R-03, R-04</t>
        </is>
      </c>
      <c r="I37" s="28" t="inlineStr">
        <is>
          <t>Data Protection Officer</t>
        </is>
      </c>
    </row>
    <row r="38" ht="48" customHeight="1" s="18">
      <c r="A38" s="28" t="inlineStr">
        <is>
          <t>A.5.35</t>
        </is>
      </c>
      <c r="B38" s="28" t="inlineStr">
        <is>
          <t>Independent review of information security</t>
        </is>
      </c>
      <c r="C38" s="28" t="inlineStr">
        <is>
          <t>A.5 Organizational</t>
        </is>
      </c>
      <c r="D38" s="29" t="inlineStr">
        <is>
          <t>Yes</t>
        </is>
      </c>
      <c r="E38" s="32" t="inlineStr">
        <is>
          <t>Planned</t>
        </is>
      </c>
      <c r="F38" s="28" t="inlineStr">
        <is>
          <t>External ISO 27001 pre-assessment scheduled six months post-migration.</t>
        </is>
      </c>
      <c r="G38" s="28" t="inlineStr">
        <is>
          <t>Engagement letter (planned).</t>
        </is>
      </c>
      <c r="H38" s="28" t="n"/>
      <c r="I38" s="28" t="inlineStr">
        <is>
          <t>CISO / GRC Lead</t>
        </is>
      </c>
    </row>
    <row r="39" ht="48" customHeight="1" s="18">
      <c r="A39" s="28" t="inlineStr">
        <is>
          <t>A.5.36</t>
        </is>
      </c>
      <c r="B39" s="28" t="inlineStr">
        <is>
          <t>Compliance with policies, rules and standards for information security</t>
        </is>
      </c>
      <c r="C39" s="28" t="inlineStr">
        <is>
          <t>A.5 Organizational</t>
        </is>
      </c>
      <c r="D39" s="29" t="inlineStr">
        <is>
          <t>Yes</t>
        </is>
      </c>
      <c r="E39" s="30" t="inlineStr">
        <is>
          <t>Partially Implemented</t>
        </is>
      </c>
      <c r="F39" s="28" t="inlineStr">
        <is>
          <t>Quarterly control self-assessments initiated; first cycle Q4 2024.</t>
        </is>
      </c>
      <c r="G39" s="28" t="inlineStr">
        <is>
          <t>CSA template; compliance calendar.</t>
        </is>
      </c>
      <c r="H39" s="28" t="n"/>
      <c r="I39" s="28" t="inlineStr">
        <is>
          <t>CISO / GRC Lead</t>
        </is>
      </c>
    </row>
    <row r="40" ht="48" customHeight="1" s="18">
      <c r="A40" s="28" t="inlineStr">
        <is>
          <t>A.5.37</t>
        </is>
      </c>
      <c r="B40" s="28" t="inlineStr">
        <is>
          <t>Documented operating procedures</t>
        </is>
      </c>
      <c r="C40" s="28" t="inlineStr">
        <is>
          <t>A.5 Organizational</t>
        </is>
      </c>
      <c r="D40" s="29" t="inlineStr">
        <is>
          <t>Yes</t>
        </is>
      </c>
      <c r="E40" s="30" t="inlineStr">
        <is>
          <t>Partially Implemented</t>
        </is>
      </c>
      <c r="F40" s="28" t="inlineStr">
        <is>
          <t>Cutover runbook, IAM provisioning SOP, and backup/restore SOP documented; broader SOP library in progress.</t>
        </is>
      </c>
      <c r="G40" s="28" t="inlineStr">
        <is>
          <t>Confluence ISMS SOP space.</t>
        </is>
      </c>
      <c r="H40" s="28" t="inlineStr">
        <is>
          <t>R-02, R-03, R-05</t>
        </is>
      </c>
      <c r="I40" s="28" t="inlineStr">
        <is>
          <t>Cloud Platform / SRE</t>
        </is>
      </c>
    </row>
    <row r="41" ht="48" customHeight="1" s="18">
      <c r="A41" s="28" t="inlineStr">
        <is>
          <t>A.6.1</t>
        </is>
      </c>
      <c r="B41" s="28" t="inlineStr">
        <is>
          <t>Screening</t>
        </is>
      </c>
      <c r="C41" s="28" t="inlineStr">
        <is>
          <t>A.6 People</t>
        </is>
      </c>
      <c r="D41" s="29" t="inlineStr">
        <is>
          <t>Yes</t>
        </is>
      </c>
      <c r="E41" s="31" t="inlineStr">
        <is>
          <t>Implemented</t>
        </is>
      </c>
      <c r="F41" s="28" t="inlineStr">
        <is>
          <t>Background checks performed for all hires with production access.</t>
        </is>
      </c>
      <c r="G41" s="28" t="inlineStr">
        <is>
          <t>HR screening policy; vendor background check records.</t>
        </is>
      </c>
      <c r="H41" s="28" t="inlineStr">
        <is>
          <t>R-02</t>
        </is>
      </c>
      <c r="I41" s="28" t="inlineStr">
        <is>
          <t>HR / People Ops</t>
        </is>
      </c>
    </row>
    <row r="42" ht="48" customHeight="1" s="18">
      <c r="A42" s="28" t="inlineStr">
        <is>
          <t>A.6.2</t>
        </is>
      </c>
      <c r="B42" s="28" t="inlineStr">
        <is>
          <t>Terms and conditions of employment</t>
        </is>
      </c>
      <c r="C42" s="28" t="inlineStr">
        <is>
          <t>A.6 People</t>
        </is>
      </c>
      <c r="D42" s="29" t="inlineStr">
        <is>
          <t>Yes</t>
        </is>
      </c>
      <c r="E42" s="31" t="inlineStr">
        <is>
          <t>Implemented</t>
        </is>
      </c>
      <c r="F42" s="28" t="inlineStr">
        <is>
          <t>Employment contracts include confidentiality and IP clauses.</t>
        </is>
      </c>
      <c r="G42" s="28" t="inlineStr">
        <is>
          <t>Standard employment contract template.</t>
        </is>
      </c>
      <c r="H42" s="28" t="n"/>
      <c r="I42" s="28" t="inlineStr">
        <is>
          <t>HR / People Ops</t>
        </is>
      </c>
    </row>
    <row r="43" ht="48" customHeight="1" s="18">
      <c r="A43" s="28" t="inlineStr">
        <is>
          <t>A.6.3</t>
        </is>
      </c>
      <c r="B43" s="28" t="inlineStr">
        <is>
          <t>Information security awareness, education and training</t>
        </is>
      </c>
      <c r="C43" s="28" t="inlineStr">
        <is>
          <t>A.6 People</t>
        </is>
      </c>
      <c r="D43" s="29" t="inlineStr">
        <is>
          <t>Yes</t>
        </is>
      </c>
      <c r="E43" s="30" t="inlineStr">
        <is>
          <t>Partially Implemented</t>
        </is>
      </c>
      <c r="F43" s="28" t="inlineStr">
        <is>
          <t>Annual security awareness training in place; AWS-specific modules being added.</t>
        </is>
      </c>
      <c r="G43" s="28" t="inlineStr">
        <is>
          <t>LMS training completion report; AWS module roadmap.</t>
        </is>
      </c>
      <c r="H43" s="28" t="inlineStr">
        <is>
          <t>R-01, R-02</t>
        </is>
      </c>
      <c r="I43" s="28" t="inlineStr">
        <is>
          <t>HR / People Ops</t>
        </is>
      </c>
    </row>
    <row r="44" ht="48" customHeight="1" s="18">
      <c r="A44" s="28" t="inlineStr">
        <is>
          <t>A.6.4</t>
        </is>
      </c>
      <c r="B44" s="28" t="inlineStr">
        <is>
          <t>Disciplinary process</t>
        </is>
      </c>
      <c r="C44" s="28" t="inlineStr">
        <is>
          <t>A.6 People</t>
        </is>
      </c>
      <c r="D44" s="29" t="inlineStr">
        <is>
          <t>Yes</t>
        </is>
      </c>
      <c r="E44" s="31" t="inlineStr">
        <is>
          <t>Implemented</t>
        </is>
      </c>
      <c r="F44" s="28" t="inlineStr">
        <is>
          <t>HR disciplinary policy covers security violations.</t>
        </is>
      </c>
      <c r="G44" s="28" t="inlineStr">
        <is>
          <t>HR policy §7 Disciplinary.</t>
        </is>
      </c>
      <c r="H44" s="28" t="n"/>
      <c r="I44" s="28" t="inlineStr">
        <is>
          <t>HR / People Ops</t>
        </is>
      </c>
    </row>
    <row r="45" ht="48" customHeight="1" s="18">
      <c r="A45" s="28" t="inlineStr">
        <is>
          <t>A.6.5</t>
        </is>
      </c>
      <c r="B45" s="28" t="inlineStr">
        <is>
          <t>Responsibilities after termination or change of employment</t>
        </is>
      </c>
      <c r="C45" s="28" t="inlineStr">
        <is>
          <t>A.6 People</t>
        </is>
      </c>
      <c r="D45" s="29" t="inlineStr">
        <is>
          <t>Yes</t>
        </is>
      </c>
      <c r="E45" s="31" t="inlineStr">
        <is>
          <t>Implemented</t>
        </is>
      </c>
      <c r="F45" s="28" t="inlineStr">
        <is>
          <t>Offboarding checklist includes access revocation within 4 hours.</t>
        </is>
      </c>
      <c r="G45" s="28" t="inlineStr">
        <is>
          <t>Offboarding SOP; SLA dashboard.</t>
        </is>
      </c>
      <c r="H45" s="28" t="inlineStr">
        <is>
          <t>R-02</t>
        </is>
      </c>
      <c r="I45" s="28" t="inlineStr">
        <is>
          <t>HR / People Ops</t>
        </is>
      </c>
    </row>
    <row r="46" ht="48" customHeight="1" s="18">
      <c r="A46" s="28" t="inlineStr">
        <is>
          <t>A.6.6</t>
        </is>
      </c>
      <c r="B46" s="28" t="inlineStr">
        <is>
          <t>Confidentiality or non-disclosure agreements</t>
        </is>
      </c>
      <c r="C46" s="28" t="inlineStr">
        <is>
          <t>A.6 People</t>
        </is>
      </c>
      <c r="D46" s="29" t="inlineStr">
        <is>
          <t>Yes</t>
        </is>
      </c>
      <c r="E46" s="31" t="inlineStr">
        <is>
          <t>Implemented</t>
        </is>
      </c>
      <c r="F46" s="28" t="inlineStr">
        <is>
          <t>NDAs signed by all employees and third parties with PII access.</t>
        </is>
      </c>
      <c r="G46" s="28" t="inlineStr">
        <is>
          <t>NDA register.</t>
        </is>
      </c>
      <c r="H46" s="28" t="inlineStr">
        <is>
          <t>R-01, R-04</t>
        </is>
      </c>
      <c r="I46" s="28" t="inlineStr">
        <is>
          <t>Legal / Compliance</t>
        </is>
      </c>
    </row>
    <row r="47" ht="48" customHeight="1" s="18">
      <c r="A47" s="28" t="inlineStr">
        <is>
          <t>A.6.7</t>
        </is>
      </c>
      <c r="B47" s="28" t="inlineStr">
        <is>
          <t>Remote working</t>
        </is>
      </c>
      <c r="C47" s="28" t="inlineStr">
        <is>
          <t>A.6 People</t>
        </is>
      </c>
      <c r="D47" s="29" t="inlineStr">
        <is>
          <t>Yes</t>
        </is>
      </c>
      <c r="E47" s="31" t="inlineStr">
        <is>
          <t>Implemented</t>
        </is>
      </c>
      <c r="F47" s="28" t="inlineStr">
        <is>
          <t>Zero-trust access via SSO + MFA; managed endpoints required.</t>
        </is>
      </c>
      <c r="G47" s="28" t="inlineStr">
        <is>
          <t>Remote work policy; MDM enrollment report.</t>
        </is>
      </c>
      <c r="H47" s="28" t="inlineStr">
        <is>
          <t>R-02</t>
        </is>
      </c>
      <c r="I47" s="28" t="inlineStr">
        <is>
          <t>Cloud Platform / SRE</t>
        </is>
      </c>
    </row>
    <row r="48" ht="48" customHeight="1" s="18">
      <c r="A48" s="28" t="inlineStr">
        <is>
          <t>A.6.8</t>
        </is>
      </c>
      <c r="B48" s="28" t="inlineStr">
        <is>
          <t>Information security event reporting</t>
        </is>
      </c>
      <c r="C48" s="28" t="inlineStr">
        <is>
          <t>A.6 People</t>
        </is>
      </c>
      <c r="D48" s="29" t="inlineStr">
        <is>
          <t>Yes</t>
        </is>
      </c>
      <c r="E48" s="30" t="inlineStr">
        <is>
          <t>Partially Implemented</t>
        </is>
      </c>
      <c r="F48" s="28" t="inlineStr">
        <is>
          <t>Reporting channel exists; rolling out dedicated #security-report Slack channel and email alias.</t>
        </is>
      </c>
      <c r="G48" s="28" t="inlineStr">
        <is>
          <t>IR Plan §4 Reporting; Slack channel setup ticket.</t>
        </is>
      </c>
      <c r="H48" s="28" t="inlineStr">
        <is>
          <t>R-01, R-05</t>
        </is>
      </c>
      <c r="I48" s="28" t="inlineStr">
        <is>
          <t>CISO / GRC Lead</t>
        </is>
      </c>
    </row>
    <row r="49" ht="48" customHeight="1" s="18">
      <c r="A49" s="28" t="inlineStr">
        <is>
          <t>A.7.1</t>
        </is>
      </c>
      <c r="B49" s="28" t="inlineStr">
        <is>
          <t>Physical security perimeters</t>
        </is>
      </c>
      <c r="C49" s="28" t="inlineStr">
        <is>
          <t>A.7 Physical</t>
        </is>
      </c>
      <c r="D49" s="29" t="inlineStr">
        <is>
          <t>Yes</t>
        </is>
      </c>
      <c r="E49" s="31" t="inlineStr">
        <is>
          <t>Implemented</t>
        </is>
      </c>
      <c r="F49" s="28" t="inlineStr">
        <is>
          <t>AWS data centers inherit from AWS SOC 2; corporate office has card access.</t>
        </is>
      </c>
      <c r="G49" s="28" t="inlineStr">
        <is>
          <t>AWS SOC 2; office access control system.</t>
        </is>
      </c>
      <c r="H49" s="28" t="n"/>
      <c r="I49" s="28" t="inlineStr">
        <is>
          <t>Facilities / IT Ops</t>
        </is>
      </c>
    </row>
    <row r="50" ht="48" customHeight="1" s="18">
      <c r="A50" s="28" t="inlineStr">
        <is>
          <t>A.7.2</t>
        </is>
      </c>
      <c r="B50" s="28" t="inlineStr">
        <is>
          <t>Physical entry</t>
        </is>
      </c>
      <c r="C50" s="28" t="inlineStr">
        <is>
          <t>A.7 Physical</t>
        </is>
      </c>
      <c r="D50" s="29" t="inlineStr">
        <is>
          <t>Yes</t>
        </is>
      </c>
      <c r="E50" s="31" t="inlineStr">
        <is>
          <t>Implemented</t>
        </is>
      </c>
      <c r="F50" s="28" t="inlineStr">
        <is>
          <t>Badge + visitor log for corporate office; AWS inherited.</t>
        </is>
      </c>
      <c r="G50" s="28" t="inlineStr">
        <is>
          <t>Visitor log policy; AWS shared responsibility.</t>
        </is>
      </c>
      <c r="H50" s="28" t="n"/>
      <c r="I50" s="28" t="inlineStr">
        <is>
          <t>Facilities / IT Ops</t>
        </is>
      </c>
    </row>
    <row r="51" ht="48" customHeight="1" s="18">
      <c r="A51" s="28" t="inlineStr">
        <is>
          <t>A.7.3</t>
        </is>
      </c>
      <c r="B51" s="28" t="inlineStr">
        <is>
          <t>Securing offices, rooms and facilities</t>
        </is>
      </c>
      <c r="C51" s="28" t="inlineStr">
        <is>
          <t>A.7 Physical</t>
        </is>
      </c>
      <c r="D51" s="29" t="inlineStr">
        <is>
          <t>Yes</t>
        </is>
      </c>
      <c r="E51" s="31" t="inlineStr">
        <is>
          <t>Implemented</t>
        </is>
      </c>
      <c r="F51" s="28" t="inlineStr">
        <is>
          <t>Server closet decommissioned post-migration; office zones defined.</t>
        </is>
      </c>
      <c r="G51" s="28" t="inlineStr">
        <is>
          <t>Facilities diagram; decommissioning record.</t>
        </is>
      </c>
      <c r="H51" s="28" t="n"/>
      <c r="I51" s="28" t="inlineStr">
        <is>
          <t>Facilities / IT Ops</t>
        </is>
      </c>
    </row>
    <row r="52" ht="48" customHeight="1" s="18">
      <c r="A52" s="28" t="inlineStr">
        <is>
          <t>A.7.4</t>
        </is>
      </c>
      <c r="B52" s="28" t="inlineStr">
        <is>
          <t>Physical security monitoring</t>
        </is>
      </c>
      <c r="C52" s="28" t="inlineStr">
        <is>
          <t>A.7 Physical</t>
        </is>
      </c>
      <c r="D52" s="29" t="inlineStr">
        <is>
          <t>Yes</t>
        </is>
      </c>
      <c r="E52" s="31" t="inlineStr">
        <is>
          <t>Implemented</t>
        </is>
      </c>
      <c r="F52" s="28" t="inlineStr">
        <is>
          <t>CCTV in corporate office; AWS inherited.</t>
        </is>
      </c>
      <c r="G52" s="28" t="inlineStr">
        <is>
          <t>CCTV policy.</t>
        </is>
      </c>
      <c r="H52" s="28" t="n"/>
      <c r="I52" s="28" t="inlineStr">
        <is>
          <t>Facilities / IT Ops</t>
        </is>
      </c>
    </row>
    <row r="53" ht="48" customHeight="1" s="18">
      <c r="A53" s="28" t="inlineStr">
        <is>
          <t>A.7.5</t>
        </is>
      </c>
      <c r="B53" s="28" t="inlineStr">
        <is>
          <t>Protecting against physical and environmental threats</t>
        </is>
      </c>
      <c r="C53" s="28" t="inlineStr">
        <is>
          <t>A.7 Physical</t>
        </is>
      </c>
      <c r="D53" s="29" t="inlineStr">
        <is>
          <t>Yes</t>
        </is>
      </c>
      <c r="E53" s="31" t="inlineStr">
        <is>
          <t>Implemented</t>
        </is>
      </c>
      <c r="F53" s="28" t="inlineStr">
        <is>
          <t>AWS inherited; corporate office fire suppression and UPS in place.</t>
        </is>
      </c>
      <c r="G53" s="28" t="inlineStr">
        <is>
          <t>Facilities maintenance log.</t>
        </is>
      </c>
      <c r="H53" s="28" t="n"/>
      <c r="I53" s="28" t="inlineStr">
        <is>
          <t>Facilities / IT Ops</t>
        </is>
      </c>
    </row>
    <row r="54" ht="48" customHeight="1" s="18">
      <c r="A54" s="28" t="inlineStr">
        <is>
          <t>A.7.6</t>
        </is>
      </c>
      <c r="B54" s="28" t="inlineStr">
        <is>
          <t>Working in secure areas</t>
        </is>
      </c>
      <c r="C54" s="28" t="inlineStr">
        <is>
          <t>A.7 Physical</t>
        </is>
      </c>
      <c r="D54" s="29" t="inlineStr">
        <is>
          <t>Yes</t>
        </is>
      </c>
      <c r="E54" s="31" t="inlineStr">
        <is>
          <t>Implemented</t>
        </is>
      </c>
      <c r="F54" s="28" t="inlineStr">
        <is>
          <t>Production admin workstations kept in locked area when unattended.</t>
        </is>
      </c>
      <c r="G54" s="28" t="inlineStr">
        <is>
          <t>Clean desk + secure area SOP.</t>
        </is>
      </c>
      <c r="H54" s="28" t="n"/>
      <c r="I54" s="28" t="inlineStr">
        <is>
          <t>Facilities / IT Ops</t>
        </is>
      </c>
    </row>
    <row r="55" ht="48" customHeight="1" s="18">
      <c r="A55" s="28" t="inlineStr">
        <is>
          <t>A.7.7</t>
        </is>
      </c>
      <c r="B55" s="28" t="inlineStr">
        <is>
          <t>Clear desk and clear screen</t>
        </is>
      </c>
      <c r="C55" s="28" t="inlineStr">
        <is>
          <t>A.7 Physical</t>
        </is>
      </c>
      <c r="D55" s="29" t="inlineStr">
        <is>
          <t>Yes</t>
        </is>
      </c>
      <c r="E55" s="31" t="inlineStr">
        <is>
          <t>Implemented</t>
        </is>
      </c>
      <c r="F55" s="28" t="inlineStr">
        <is>
          <t>Automatic screen lock after 10 minutes; clean desk policy enforced.</t>
        </is>
      </c>
      <c r="G55" s="28" t="inlineStr">
        <is>
          <t>MDM screen-lock config; clean desk policy.</t>
        </is>
      </c>
      <c r="H55" s="28" t="n"/>
      <c r="I55" s="28" t="inlineStr">
        <is>
          <t>Facilities / IT Ops</t>
        </is>
      </c>
    </row>
    <row r="56" ht="48" customHeight="1" s="18">
      <c r="A56" s="28" t="inlineStr">
        <is>
          <t>A.7.8</t>
        </is>
      </c>
      <c r="B56" s="28" t="inlineStr">
        <is>
          <t>Equipment siting and protection</t>
        </is>
      </c>
      <c r="C56" s="28" t="inlineStr">
        <is>
          <t>A.7 Physical</t>
        </is>
      </c>
      <c r="D56" s="29" t="inlineStr">
        <is>
          <t>Yes</t>
        </is>
      </c>
      <c r="E56" s="31" t="inlineStr">
        <is>
          <t>Implemented</t>
        </is>
      </c>
      <c r="F56" s="28" t="inlineStr">
        <is>
          <t>No critical equipment on-prem post-migration; laptops secured.</t>
        </is>
      </c>
      <c r="G56" s="28" t="inlineStr">
        <is>
          <t>Asset location register.</t>
        </is>
      </c>
      <c r="H56" s="28" t="n"/>
      <c r="I56" s="28" t="inlineStr">
        <is>
          <t>Facilities / IT Ops</t>
        </is>
      </c>
    </row>
    <row r="57" ht="48" customHeight="1" s="18">
      <c r="A57" s="28" t="inlineStr">
        <is>
          <t>A.7.9</t>
        </is>
      </c>
      <c r="B57" s="28" t="inlineStr">
        <is>
          <t>Security of assets off-premises</t>
        </is>
      </c>
      <c r="C57" s="28" t="inlineStr">
        <is>
          <t>A.7 Physical</t>
        </is>
      </c>
      <c r="D57" s="29" t="inlineStr">
        <is>
          <t>Yes</t>
        </is>
      </c>
      <c r="E57" s="31" t="inlineStr">
        <is>
          <t>Implemented</t>
        </is>
      </c>
      <c r="F57" s="28" t="inlineStr">
        <is>
          <t>MDM-enrolled laptops with full-disk encryption.</t>
        </is>
      </c>
      <c r="G57" s="28" t="inlineStr">
        <is>
          <t>MDM encryption report.</t>
        </is>
      </c>
      <c r="H57" s="28" t="inlineStr">
        <is>
          <t>R-02</t>
        </is>
      </c>
      <c r="I57" s="28" t="inlineStr">
        <is>
          <t>Facilities / IT Ops</t>
        </is>
      </c>
    </row>
    <row r="58" ht="48" customHeight="1" s="18">
      <c r="A58" s="28" t="inlineStr">
        <is>
          <t>A.7.10</t>
        </is>
      </c>
      <c r="B58" s="28" t="inlineStr">
        <is>
          <t>Storage media</t>
        </is>
      </c>
      <c r="C58" s="28" t="inlineStr">
        <is>
          <t>A.7 Physical</t>
        </is>
      </c>
      <c r="D58" s="29" t="inlineStr">
        <is>
          <t>Yes</t>
        </is>
      </c>
      <c r="E58" s="31" t="inlineStr">
        <is>
          <t>Implemented</t>
        </is>
      </c>
      <c r="F58" s="28" t="inlineStr">
        <is>
          <t>Legacy on-prem media sanitized and destroyed with certificate.</t>
        </is>
      </c>
      <c r="G58" s="28" t="inlineStr">
        <is>
          <t>Media destruction certificates.</t>
        </is>
      </c>
      <c r="H58" s="28" t="inlineStr">
        <is>
          <t>R-03</t>
        </is>
      </c>
      <c r="I58" s="28" t="inlineStr">
        <is>
          <t>Facilities / IT Ops</t>
        </is>
      </c>
    </row>
    <row r="59" ht="48" customHeight="1" s="18">
      <c r="A59" s="28" t="inlineStr">
        <is>
          <t>A.7.11</t>
        </is>
      </c>
      <c r="B59" s="28" t="inlineStr">
        <is>
          <t>Supporting utilities</t>
        </is>
      </c>
      <c r="C59" s="28" t="inlineStr">
        <is>
          <t>A.7 Physical</t>
        </is>
      </c>
      <c r="D59" s="29" t="inlineStr">
        <is>
          <t>Yes</t>
        </is>
      </c>
      <c r="E59" s="31" t="inlineStr">
        <is>
          <t>Implemented</t>
        </is>
      </c>
      <c r="F59" s="28" t="inlineStr">
        <is>
          <t>AWS inherited for production; UPS and generator for corporate office.</t>
        </is>
      </c>
      <c r="G59" s="28" t="inlineStr">
        <is>
          <t>Facilities contract.</t>
        </is>
      </c>
      <c r="H59" s="28" t="n"/>
      <c r="I59" s="28" t="inlineStr">
        <is>
          <t>Facilities / IT Ops</t>
        </is>
      </c>
    </row>
    <row r="60" ht="48" customHeight="1" s="18">
      <c r="A60" s="28" t="inlineStr">
        <is>
          <t>A.7.12</t>
        </is>
      </c>
      <c r="B60" s="28" t="inlineStr">
        <is>
          <t>Cabling security</t>
        </is>
      </c>
      <c r="C60" s="28" t="inlineStr">
        <is>
          <t>A.7 Physical</t>
        </is>
      </c>
      <c r="D60" s="29" t="inlineStr">
        <is>
          <t>Yes</t>
        </is>
      </c>
      <c r="E60" s="31" t="inlineStr">
        <is>
          <t>Implemented</t>
        </is>
      </c>
      <c r="F60" s="28" t="inlineStr">
        <is>
          <t>Not material post-migration; office cabling meets code.</t>
        </is>
      </c>
      <c r="G60" s="28" t="inlineStr">
        <is>
          <t>Facilities diagram.</t>
        </is>
      </c>
      <c r="H60" s="28" t="n"/>
      <c r="I60" s="28" t="inlineStr">
        <is>
          <t>Facilities / IT Ops</t>
        </is>
      </c>
    </row>
    <row r="61" ht="48" customHeight="1" s="18">
      <c r="A61" s="28" t="inlineStr">
        <is>
          <t>A.7.13</t>
        </is>
      </c>
      <c r="B61" s="28" t="inlineStr">
        <is>
          <t>Equipment maintenance</t>
        </is>
      </c>
      <c r="C61" s="28" t="inlineStr">
        <is>
          <t>A.7 Physical</t>
        </is>
      </c>
      <c r="D61" s="29" t="inlineStr">
        <is>
          <t>Yes</t>
        </is>
      </c>
      <c r="E61" s="31" t="inlineStr">
        <is>
          <t>Implemented</t>
        </is>
      </c>
      <c r="F61" s="28" t="inlineStr">
        <is>
          <t>Laptops under vendor warranty; AWS inherited for servers.</t>
        </is>
      </c>
      <c r="G61" s="28" t="inlineStr">
        <is>
          <t>Vendor warranty register.</t>
        </is>
      </c>
      <c r="H61" s="28" t="n"/>
      <c r="I61" s="28" t="inlineStr">
        <is>
          <t>Facilities / IT Ops</t>
        </is>
      </c>
    </row>
    <row r="62" ht="48" customHeight="1" s="18">
      <c r="A62" s="28" t="inlineStr">
        <is>
          <t>A.7.14</t>
        </is>
      </c>
      <c r="B62" s="28" t="inlineStr">
        <is>
          <t>Secure disposal or re-use of equipment</t>
        </is>
      </c>
      <c r="C62" s="28" t="inlineStr">
        <is>
          <t>A.7 Physical</t>
        </is>
      </c>
      <c r="D62" s="29" t="inlineStr">
        <is>
          <t>Yes</t>
        </is>
      </c>
      <c r="E62" s="31" t="inlineStr">
        <is>
          <t>Implemented</t>
        </is>
      </c>
      <c r="F62" s="28" t="inlineStr">
        <is>
          <t>End-of-life laptops wiped via certified wipe; destruction certificate retained.</t>
        </is>
      </c>
      <c r="G62" s="28" t="inlineStr">
        <is>
          <t>Disposal certificates.</t>
        </is>
      </c>
      <c r="H62" s="28" t="inlineStr">
        <is>
          <t>R-03</t>
        </is>
      </c>
      <c r="I62" s="28" t="inlineStr">
        <is>
          <t>Facilities / IT Ops</t>
        </is>
      </c>
    </row>
    <row r="63" ht="48" customHeight="1" s="18">
      <c r="A63" s="28" t="inlineStr">
        <is>
          <t>A.8.1</t>
        </is>
      </c>
      <c r="B63" s="28" t="inlineStr">
        <is>
          <t>User end point devices</t>
        </is>
      </c>
      <c r="C63" s="28" t="inlineStr">
        <is>
          <t>A.8 Technological</t>
        </is>
      </c>
      <c r="D63" s="29" t="inlineStr">
        <is>
          <t>Yes</t>
        </is>
      </c>
      <c r="E63" s="31" t="inlineStr">
        <is>
          <t>Implemented</t>
        </is>
      </c>
      <c r="F63" s="28" t="inlineStr">
        <is>
          <t>MDM enforced; disk encryption and EDR mandatory on all endpoints.</t>
        </is>
      </c>
      <c r="G63" s="28" t="inlineStr">
        <is>
          <t>MDM compliance dashboard.</t>
        </is>
      </c>
      <c r="H63" s="28" t="inlineStr">
        <is>
          <t>R-02</t>
        </is>
      </c>
      <c r="I63" s="28" t="inlineStr">
        <is>
          <t>Cloud Platform / SRE</t>
        </is>
      </c>
    </row>
    <row r="64" ht="48" customHeight="1" s="18">
      <c r="A64" s="28" t="inlineStr">
        <is>
          <t>A.8.2</t>
        </is>
      </c>
      <c r="B64" s="28" t="inlineStr">
        <is>
          <t>Privileged access rights</t>
        </is>
      </c>
      <c r="C64" s="28" t="inlineStr">
        <is>
          <t>A.8 Technological</t>
        </is>
      </c>
      <c r="D64" s="29" t="inlineStr">
        <is>
          <t>Yes</t>
        </is>
      </c>
      <c r="E64" s="31" t="inlineStr">
        <is>
          <t>Implemented</t>
        </is>
      </c>
      <c r="F64" s="28" t="inlineStr">
        <is>
          <t>Privileged AWS roles require MFA + JIT via Okta; break-glass accounts logged and alerted.</t>
        </is>
      </c>
      <c r="G64" s="28" t="inlineStr">
        <is>
          <t>Privileged Access SOP; break-glass register.</t>
        </is>
      </c>
      <c r="H64" s="28" t="inlineStr">
        <is>
          <t>R-01, R-02</t>
        </is>
      </c>
      <c r="I64" s="28" t="inlineStr">
        <is>
          <t>Cloud Platform / SRE</t>
        </is>
      </c>
    </row>
    <row r="65" ht="48" customHeight="1" s="18">
      <c r="A65" s="28" t="inlineStr">
        <is>
          <t>A.8.3</t>
        </is>
      </c>
      <c r="B65" s="28" t="inlineStr">
        <is>
          <t>Information access restriction</t>
        </is>
      </c>
      <c r="C65" s="28" t="inlineStr">
        <is>
          <t>A.8 Technological</t>
        </is>
      </c>
      <c r="D65" s="29" t="inlineStr">
        <is>
          <t>Yes</t>
        </is>
      </c>
      <c r="E65" s="31" t="inlineStr">
        <is>
          <t>Implemented</t>
        </is>
      </c>
      <c r="F65" s="28" t="inlineStr">
        <is>
          <t>RDS access restricted to application role and DBA group; row-level controls for multi-tenant data.</t>
        </is>
      </c>
      <c r="G65" s="28" t="inlineStr">
        <is>
          <t>IAM policy; application config.</t>
        </is>
      </c>
      <c r="H65" s="28" t="inlineStr">
        <is>
          <t>R-01</t>
        </is>
      </c>
      <c r="I65" s="28" t="inlineStr">
        <is>
          <t>Cloud Platform / SRE</t>
        </is>
      </c>
    </row>
    <row r="66" ht="48" customHeight="1" s="18">
      <c r="A66" s="28" t="inlineStr">
        <is>
          <t>A.8.4</t>
        </is>
      </c>
      <c r="B66" s="28" t="inlineStr">
        <is>
          <t>Access to source code</t>
        </is>
      </c>
      <c r="C66" s="28" t="inlineStr">
        <is>
          <t>A.8 Technological</t>
        </is>
      </c>
      <c r="D66" s="29" t="inlineStr">
        <is>
          <t>Yes</t>
        </is>
      </c>
      <c r="E66" s="31" t="inlineStr">
        <is>
          <t>Implemented</t>
        </is>
      </c>
      <c r="F66" s="28" t="inlineStr">
        <is>
          <t>GitHub Enterprise with SSO; branch protection and code owners required.</t>
        </is>
      </c>
      <c r="G66" s="28" t="inlineStr">
        <is>
          <t>GitHub org settings.</t>
        </is>
      </c>
      <c r="H66" s="28" t="inlineStr">
        <is>
          <t>R-02</t>
        </is>
      </c>
      <c r="I66" s="28" t="inlineStr">
        <is>
          <t>Engineering / Platform</t>
        </is>
      </c>
    </row>
    <row r="67" ht="48" customHeight="1" s="18">
      <c r="A67" s="28" t="inlineStr">
        <is>
          <t>A.8.5</t>
        </is>
      </c>
      <c r="B67" s="28" t="inlineStr">
        <is>
          <t>Secure authentication</t>
        </is>
      </c>
      <c r="C67" s="28" t="inlineStr">
        <is>
          <t>A.8 Technological</t>
        </is>
      </c>
      <c r="D67" s="29" t="inlineStr">
        <is>
          <t>Yes</t>
        </is>
      </c>
      <c r="E67" s="31" t="inlineStr">
        <is>
          <t>Implemented</t>
        </is>
      </c>
      <c r="F67" s="28" t="inlineStr">
        <is>
          <t>MFA enforced via Okta for all workforce identities; service accounts use short-lived IAM credentials.</t>
        </is>
      </c>
      <c r="G67" s="28" t="inlineStr">
        <is>
          <t>Okta config; IAM policy.</t>
        </is>
      </c>
      <c r="H67" s="28" t="inlineStr">
        <is>
          <t>R-01, R-02</t>
        </is>
      </c>
      <c r="I67" s="28" t="inlineStr">
        <is>
          <t>Cloud Platform / SRE</t>
        </is>
      </c>
    </row>
    <row r="68" ht="48" customHeight="1" s="18">
      <c r="A68" s="28" t="inlineStr">
        <is>
          <t>A.8.6</t>
        </is>
      </c>
      <c r="B68" s="28" t="inlineStr">
        <is>
          <t>Capacity management</t>
        </is>
      </c>
      <c r="C68" s="28" t="inlineStr">
        <is>
          <t>A.8 Technological</t>
        </is>
      </c>
      <c r="D68" s="29" t="inlineStr">
        <is>
          <t>Yes</t>
        </is>
      </c>
      <c r="E68" s="31" t="inlineStr">
        <is>
          <t>Implemented</t>
        </is>
      </c>
      <c r="F68" s="28" t="inlineStr">
        <is>
          <t>RDS and EC2 autoscaling enabled; CloudWatch alarms on CPU, memory, IOPS.</t>
        </is>
      </c>
      <c r="G68" s="28" t="inlineStr">
        <is>
          <t>CloudWatch alarms; runbook.</t>
        </is>
      </c>
      <c r="H68" s="28" t="inlineStr">
        <is>
          <t>R-05</t>
        </is>
      </c>
      <c r="I68" s="28" t="inlineStr">
        <is>
          <t>Cloud Platform / SRE</t>
        </is>
      </c>
    </row>
    <row r="69" ht="48" customHeight="1" s="18">
      <c r="A69" s="28" t="inlineStr">
        <is>
          <t>A.8.7</t>
        </is>
      </c>
      <c r="B69" s="28" t="inlineStr">
        <is>
          <t>Protection against malware</t>
        </is>
      </c>
      <c r="C69" s="28" t="inlineStr">
        <is>
          <t>A.8 Technological</t>
        </is>
      </c>
      <c r="D69" s="29" t="inlineStr">
        <is>
          <t>Yes</t>
        </is>
      </c>
      <c r="E69" s="31" t="inlineStr">
        <is>
          <t>Implemented</t>
        </is>
      </c>
      <c r="F69" s="28" t="inlineStr">
        <is>
          <t>EDR on all endpoints; GuardDuty for AWS workload threats.</t>
        </is>
      </c>
      <c r="G69" s="28" t="inlineStr">
        <is>
          <t>EDR dashboard; GuardDuty findings.</t>
        </is>
      </c>
      <c r="H69" s="28" t="inlineStr">
        <is>
          <t>R-01</t>
        </is>
      </c>
      <c r="I69" s="28" t="inlineStr">
        <is>
          <t>Cloud Platform / SRE</t>
        </is>
      </c>
    </row>
    <row r="70" ht="48" customHeight="1" s="18">
      <c r="A70" s="28" t="inlineStr">
        <is>
          <t>A.8.8</t>
        </is>
      </c>
      <c r="B70" s="28" t="inlineStr">
        <is>
          <t>Management of technical vulnerabilities</t>
        </is>
      </c>
      <c r="C70" s="28" t="inlineStr">
        <is>
          <t>A.8 Technological</t>
        </is>
      </c>
      <c r="D70" s="29" t="inlineStr">
        <is>
          <t>Yes</t>
        </is>
      </c>
      <c r="E70" s="30" t="inlineStr">
        <is>
          <t>Partially Implemented</t>
        </is>
      </c>
      <c r="F70" s="28" t="inlineStr">
        <is>
          <t>Monthly vulnerability scans; patching SLAs defined (critical 7 days, high 30 days).</t>
        </is>
      </c>
      <c r="G70" s="28" t="inlineStr">
        <is>
          <t>Vulnerability management SOP; scan reports.</t>
        </is>
      </c>
      <c r="H70" s="28" t="inlineStr">
        <is>
          <t>R-01, R-02</t>
        </is>
      </c>
      <c r="I70" s="28" t="inlineStr">
        <is>
          <t>Cloud Platform / SRE</t>
        </is>
      </c>
    </row>
    <row r="71" ht="48" customHeight="1" s="18">
      <c r="A71" s="28" t="inlineStr">
        <is>
          <t>A.8.9</t>
        </is>
      </c>
      <c r="B71" s="28" t="inlineStr">
        <is>
          <t>Configuration management</t>
        </is>
      </c>
      <c r="C71" s="28" t="inlineStr">
        <is>
          <t>A.8 Technological</t>
        </is>
      </c>
      <c r="D71" s="29" t="inlineStr">
        <is>
          <t>Yes</t>
        </is>
      </c>
      <c r="E71" s="31" t="inlineStr">
        <is>
          <t>Implemented</t>
        </is>
      </c>
      <c r="F71" s="28" t="inlineStr">
        <is>
          <t>Infrastructure as Code (Terraform); AWS Config rules for drift detection.</t>
        </is>
      </c>
      <c r="G71" s="28" t="inlineStr">
        <is>
          <t>Terraform repo; Config conformance pack.</t>
        </is>
      </c>
      <c r="H71" s="28" t="inlineStr">
        <is>
          <t>R-02</t>
        </is>
      </c>
      <c r="I71" s="28" t="inlineStr">
        <is>
          <t>Cloud Platform / SRE</t>
        </is>
      </c>
    </row>
    <row r="72" ht="48" customHeight="1" s="18">
      <c r="A72" s="28" t="inlineStr">
        <is>
          <t>A.8.10</t>
        </is>
      </c>
      <c r="B72" s="28" t="inlineStr">
        <is>
          <t>Information deletion</t>
        </is>
      </c>
      <c r="C72" s="28" t="inlineStr">
        <is>
          <t>A.8 Technological</t>
        </is>
      </c>
      <c r="D72" s="29" t="inlineStr">
        <is>
          <t>Yes</t>
        </is>
      </c>
      <c r="E72" s="30" t="inlineStr">
        <is>
          <t>Partially Implemented</t>
        </is>
      </c>
      <c r="F72" s="28" t="inlineStr">
        <is>
          <t>Retention schedule aligned to legal requirements; automated deletion for audit logs &gt; 1 year; customer deletion requests tracked.</t>
        </is>
      </c>
      <c r="G72" s="28" t="inlineStr">
        <is>
          <t>Retention schedule; deletion runbook.</t>
        </is>
      </c>
      <c r="H72" s="28" t="inlineStr">
        <is>
          <t>R-04</t>
        </is>
      </c>
      <c r="I72" s="28" t="inlineStr">
        <is>
          <t>Data Protection Officer</t>
        </is>
      </c>
    </row>
    <row r="73" ht="48" customHeight="1" s="18">
      <c r="A73" s="28" t="inlineStr">
        <is>
          <t>A.8.11</t>
        </is>
      </c>
      <c r="B73" s="28" t="inlineStr">
        <is>
          <t>Data masking</t>
        </is>
      </c>
      <c r="C73" s="28" t="inlineStr">
        <is>
          <t>A.8 Technological</t>
        </is>
      </c>
      <c r="D73" s="29" t="inlineStr">
        <is>
          <t>Yes</t>
        </is>
      </c>
      <c r="E73" s="30" t="inlineStr">
        <is>
          <t>Partially Implemented</t>
        </is>
      </c>
      <c r="F73" s="28" t="inlineStr">
        <is>
          <t>Non-production environments use synthesized data; production masking for support read-only roles in progress.</t>
        </is>
      </c>
      <c r="G73" s="28" t="inlineStr">
        <is>
          <t>Data masking design doc.</t>
        </is>
      </c>
      <c r="H73" s="28" t="inlineStr">
        <is>
          <t>R-01</t>
        </is>
      </c>
      <c r="I73" s="28" t="inlineStr">
        <is>
          <t>Engineering / Platform</t>
        </is>
      </c>
    </row>
    <row r="74" ht="48" customHeight="1" s="18">
      <c r="A74" s="28" t="inlineStr">
        <is>
          <t>A.8.12</t>
        </is>
      </c>
      <c r="B74" s="28" t="inlineStr">
        <is>
          <t>Data leakage prevention</t>
        </is>
      </c>
      <c r="C74" s="28" t="inlineStr">
        <is>
          <t>A.8 Technological</t>
        </is>
      </c>
      <c r="D74" s="29" t="inlineStr">
        <is>
          <t>Yes</t>
        </is>
      </c>
      <c r="E74" s="30" t="inlineStr">
        <is>
          <t>Partially Implemented</t>
        </is>
      </c>
      <c r="F74" s="28" t="inlineStr">
        <is>
          <t>S3 bucket public access blocked org-wide; DLP tooling for email in place; endpoint DLP under evaluation.</t>
        </is>
      </c>
      <c r="G74" s="28" t="inlineStr">
        <is>
          <t>SCP deny-public; Google Workspace DLP config.</t>
        </is>
      </c>
      <c r="H74" s="28" t="inlineStr">
        <is>
          <t>R-01, R-04</t>
        </is>
      </c>
      <c r="I74" s="28" t="inlineStr">
        <is>
          <t>Cloud Platform / SRE</t>
        </is>
      </c>
    </row>
    <row r="75" ht="48" customHeight="1" s="18">
      <c r="A75" s="28" t="inlineStr">
        <is>
          <t>A.8.13</t>
        </is>
      </c>
      <c r="B75" s="28" t="inlineStr">
        <is>
          <t>Information backup</t>
        </is>
      </c>
      <c r="C75" s="28" t="inlineStr">
        <is>
          <t>A.8 Technological</t>
        </is>
      </c>
      <c r="D75" s="29" t="inlineStr">
        <is>
          <t>Yes</t>
        </is>
      </c>
      <c r="E75" s="31" t="inlineStr">
        <is>
          <t>Implemented</t>
        </is>
      </c>
      <c r="F75" s="28" t="inlineStr">
        <is>
          <t>RDS automated backups (35-day retention); cross-region snapshot copy; restore tested quarterly.</t>
        </is>
      </c>
      <c r="G75" s="28" t="inlineStr">
        <is>
          <t>Backup SOP; last restore test report.</t>
        </is>
      </c>
      <c r="H75" s="28" t="inlineStr">
        <is>
          <t>R-03, R-05</t>
        </is>
      </c>
      <c r="I75" s="28" t="inlineStr">
        <is>
          <t>Cloud Platform / SRE</t>
        </is>
      </c>
    </row>
    <row r="76" ht="48" customHeight="1" s="18">
      <c r="A76" s="28" t="inlineStr">
        <is>
          <t>A.8.14</t>
        </is>
      </c>
      <c r="B76" s="28" t="inlineStr">
        <is>
          <t>Redundancy of information processing facilities</t>
        </is>
      </c>
      <c r="C76" s="28" t="inlineStr">
        <is>
          <t>A.8 Technological</t>
        </is>
      </c>
      <c r="D76" s="29" t="inlineStr">
        <is>
          <t>Yes</t>
        </is>
      </c>
      <c r="E76" s="31" t="inlineStr">
        <is>
          <t>Implemented</t>
        </is>
      </c>
      <c r="F76" s="28" t="inlineStr">
        <is>
          <t>Multi-AZ RDS; multi-region DR plan; target RTO 4h / RPO 1h.</t>
        </is>
      </c>
      <c r="G76" s="28" t="inlineStr">
        <is>
          <t>HA architecture diagram; DR plan.</t>
        </is>
      </c>
      <c r="H76" s="28" t="inlineStr">
        <is>
          <t>R-05</t>
        </is>
      </c>
      <c r="I76" s="28" t="inlineStr">
        <is>
          <t>Cloud Platform / SRE</t>
        </is>
      </c>
    </row>
    <row r="77" ht="48" customHeight="1" s="18">
      <c r="A77" s="28" t="inlineStr">
        <is>
          <t>A.8.15</t>
        </is>
      </c>
      <c r="B77" s="28" t="inlineStr">
        <is>
          <t>Logging</t>
        </is>
      </c>
      <c r="C77" s="28" t="inlineStr">
        <is>
          <t>A.8 Technological</t>
        </is>
      </c>
      <c r="D77" s="29" t="inlineStr">
        <is>
          <t>Yes</t>
        </is>
      </c>
      <c r="E77" s="31" t="inlineStr">
        <is>
          <t>Implemented</t>
        </is>
      </c>
      <c r="F77" s="28" t="inlineStr">
        <is>
          <t>CloudTrail org-wide; VPC Flow Logs; application logs to centralized log bucket with 1-year retention.</t>
        </is>
      </c>
      <c r="G77" s="28" t="inlineStr">
        <is>
          <t>CloudTrail config; log retention policy.</t>
        </is>
      </c>
      <c r="H77" s="28" t="inlineStr">
        <is>
          <t>R-01, R-02</t>
        </is>
      </c>
      <c r="I77" s="28" t="inlineStr">
        <is>
          <t>Cloud Platform / SRE</t>
        </is>
      </c>
    </row>
    <row r="78" ht="48" customHeight="1" s="18">
      <c r="A78" s="28" t="inlineStr">
        <is>
          <t>A.8.16</t>
        </is>
      </c>
      <c r="B78" s="28" t="inlineStr">
        <is>
          <t>Monitoring activities</t>
        </is>
      </c>
      <c r="C78" s="28" t="inlineStr">
        <is>
          <t>A.8 Technological</t>
        </is>
      </c>
      <c r="D78" s="29" t="inlineStr">
        <is>
          <t>Yes</t>
        </is>
      </c>
      <c r="E78" s="30" t="inlineStr">
        <is>
          <t>Partially Implemented</t>
        </is>
      </c>
      <c r="F78" s="28" t="inlineStr">
        <is>
          <t>GuardDuty + CloudWatch alarms; SIEM onboarding in progress.</t>
        </is>
      </c>
      <c r="G78" s="28" t="inlineStr">
        <is>
          <t>GuardDuty config; SIEM backlog ticket.</t>
        </is>
      </c>
      <c r="H78" s="28" t="inlineStr">
        <is>
          <t>R-01, R-02</t>
        </is>
      </c>
      <c r="I78" s="28" t="inlineStr">
        <is>
          <t>Cloud Platform / SRE</t>
        </is>
      </c>
    </row>
    <row r="79" ht="48" customHeight="1" s="18">
      <c r="A79" s="28" t="inlineStr">
        <is>
          <t>A.8.17</t>
        </is>
      </c>
      <c r="B79" s="28" t="inlineStr">
        <is>
          <t>Clock synchronization</t>
        </is>
      </c>
      <c r="C79" s="28" t="inlineStr">
        <is>
          <t>A.8 Technological</t>
        </is>
      </c>
      <c r="D79" s="29" t="inlineStr">
        <is>
          <t>Yes</t>
        </is>
      </c>
      <c r="E79" s="31" t="inlineStr">
        <is>
          <t>Implemented</t>
        </is>
      </c>
      <c r="F79" s="28" t="inlineStr">
        <is>
          <t>NTP via AWS time-sync service; endpoints use OS-managed NTP.</t>
        </is>
      </c>
      <c r="G79" s="28" t="inlineStr">
        <is>
          <t>System config documentation.</t>
        </is>
      </c>
      <c r="H79" s="28" t="n"/>
      <c r="I79" s="28" t="inlineStr">
        <is>
          <t>Cloud Platform / SRE</t>
        </is>
      </c>
    </row>
    <row r="80" ht="48" customHeight="1" s="18">
      <c r="A80" s="28" t="inlineStr">
        <is>
          <t>A.8.18</t>
        </is>
      </c>
      <c r="B80" s="28" t="inlineStr">
        <is>
          <t>Use of privileged utility programs</t>
        </is>
      </c>
      <c r="C80" s="28" t="inlineStr">
        <is>
          <t>A.8 Technological</t>
        </is>
      </c>
      <c r="D80" s="29" t="inlineStr">
        <is>
          <t>Yes</t>
        </is>
      </c>
      <c r="E80" s="31" t="inlineStr">
        <is>
          <t>Implemented</t>
        </is>
      </c>
      <c r="F80" s="28" t="inlineStr">
        <is>
          <t>Privileged utilities (psql, awscli) gated by IAM; session logging via SSM.</t>
        </is>
      </c>
      <c r="G80" s="28" t="inlineStr">
        <is>
          <t>SSM session manager config.</t>
        </is>
      </c>
      <c r="H80" s="28" t="inlineStr">
        <is>
          <t>R-01, R-02</t>
        </is>
      </c>
      <c r="I80" s="28" t="inlineStr">
        <is>
          <t>Cloud Platform / SRE</t>
        </is>
      </c>
    </row>
    <row r="81" ht="48" customHeight="1" s="18">
      <c r="A81" s="28" t="inlineStr">
        <is>
          <t>A.8.19</t>
        </is>
      </c>
      <c r="B81" s="28" t="inlineStr">
        <is>
          <t>Installation of software on operational systems</t>
        </is>
      </c>
      <c r="C81" s="28" t="inlineStr">
        <is>
          <t>A.8 Technological</t>
        </is>
      </c>
      <c r="D81" s="29" t="inlineStr">
        <is>
          <t>Yes</t>
        </is>
      </c>
      <c r="E81" s="31" t="inlineStr">
        <is>
          <t>Implemented</t>
        </is>
      </c>
      <c r="F81" s="28" t="inlineStr">
        <is>
          <t>Immutable AMIs; no interactive installs on production hosts.</t>
        </is>
      </c>
      <c r="G81" s="28" t="inlineStr">
        <is>
          <t>AMI build pipeline.</t>
        </is>
      </c>
      <c r="H81" s="28" t="inlineStr">
        <is>
          <t>R-02</t>
        </is>
      </c>
      <c r="I81" s="28" t="inlineStr">
        <is>
          <t>Cloud Platform / SRE</t>
        </is>
      </c>
    </row>
    <row r="82" ht="48" customHeight="1" s="18">
      <c r="A82" s="28" t="inlineStr">
        <is>
          <t>A.8.20</t>
        </is>
      </c>
      <c r="B82" s="28" t="inlineStr">
        <is>
          <t>Networks security</t>
        </is>
      </c>
      <c r="C82" s="28" t="inlineStr">
        <is>
          <t>A.8 Technological</t>
        </is>
      </c>
      <c r="D82" s="29" t="inlineStr">
        <is>
          <t>Yes</t>
        </is>
      </c>
      <c r="E82" s="31" t="inlineStr">
        <is>
          <t>Implemented</t>
        </is>
      </c>
      <c r="F82" s="28" t="inlineStr">
        <is>
          <t>VPC with private subnets; security groups least-privilege; VPC endpoints for S3/KMS.</t>
        </is>
      </c>
      <c r="G82" s="28" t="inlineStr">
        <is>
          <t>Network diagram; SG audit.</t>
        </is>
      </c>
      <c r="H82" s="28" t="inlineStr">
        <is>
          <t>R-01, R-02</t>
        </is>
      </c>
      <c r="I82" s="28" t="inlineStr">
        <is>
          <t>Cloud Platform / SRE</t>
        </is>
      </c>
    </row>
    <row r="83" ht="48" customHeight="1" s="18">
      <c r="A83" s="28" t="inlineStr">
        <is>
          <t>A.8.21</t>
        </is>
      </c>
      <c r="B83" s="28" t="inlineStr">
        <is>
          <t>Security of network services</t>
        </is>
      </c>
      <c r="C83" s="28" t="inlineStr">
        <is>
          <t>A.8 Technological</t>
        </is>
      </c>
      <c r="D83" s="29" t="inlineStr">
        <is>
          <t>Yes</t>
        </is>
      </c>
      <c r="E83" s="31" t="inlineStr">
        <is>
          <t>Implemented</t>
        </is>
      </c>
      <c r="F83" s="28" t="inlineStr">
        <is>
          <t>TLS 1.2+ enforced; AWS PrivateLink for inter-service; WAF in front of public endpoints.</t>
        </is>
      </c>
      <c r="G83" s="28" t="inlineStr">
        <is>
          <t>WAF rules; TLS config.</t>
        </is>
      </c>
      <c r="H83" s="28" t="inlineStr">
        <is>
          <t>R-01, R-03</t>
        </is>
      </c>
      <c r="I83" s="28" t="inlineStr">
        <is>
          <t>Cloud Platform / SRE</t>
        </is>
      </c>
    </row>
    <row r="84" ht="48" customHeight="1" s="18">
      <c r="A84" s="28" t="inlineStr">
        <is>
          <t>A.8.22</t>
        </is>
      </c>
      <c r="B84" s="28" t="inlineStr">
        <is>
          <t>Segregation of networks</t>
        </is>
      </c>
      <c r="C84" s="28" t="inlineStr">
        <is>
          <t>A.8 Technological</t>
        </is>
      </c>
      <c r="D84" s="29" t="inlineStr">
        <is>
          <t>Yes</t>
        </is>
      </c>
      <c r="E84" s="31" t="inlineStr">
        <is>
          <t>Implemented</t>
        </is>
      </c>
      <c r="F84" s="28" t="inlineStr">
        <is>
          <t>Production, staging, and corporate networks segregated via separate AWS accounts with SCPs.</t>
        </is>
      </c>
      <c r="G84" s="28" t="inlineStr">
        <is>
          <t>AWS Organizations structure; SCP policies.</t>
        </is>
      </c>
      <c r="H84" s="28" t="inlineStr">
        <is>
          <t>R-02</t>
        </is>
      </c>
      <c r="I84" s="28" t="inlineStr">
        <is>
          <t>Cloud Platform / SRE</t>
        </is>
      </c>
    </row>
    <row r="85" ht="48" customHeight="1" s="18">
      <c r="A85" s="28" t="inlineStr">
        <is>
          <t>A.8.23</t>
        </is>
      </c>
      <c r="B85" s="28" t="inlineStr">
        <is>
          <t>Web filtering</t>
        </is>
      </c>
      <c r="C85" s="28" t="inlineStr">
        <is>
          <t>A.8 Technological</t>
        </is>
      </c>
      <c r="D85" s="29" t="inlineStr">
        <is>
          <t>Yes</t>
        </is>
      </c>
      <c r="E85" s="31" t="inlineStr">
        <is>
          <t>Implemented</t>
        </is>
      </c>
      <c r="F85" s="28" t="inlineStr">
        <is>
          <t>Umbrella DNS filtering on managed endpoints; category-based blocking.</t>
        </is>
      </c>
      <c r="G85" s="28" t="inlineStr">
        <is>
          <t>Umbrella console export.</t>
        </is>
      </c>
      <c r="H85" s="28" t="inlineStr">
        <is>
          <t>R-01</t>
        </is>
      </c>
      <c r="I85" s="28" t="inlineStr">
        <is>
          <t>Cloud Platform / SRE</t>
        </is>
      </c>
    </row>
    <row r="86" ht="48" customHeight="1" s="18">
      <c r="A86" s="28" t="inlineStr">
        <is>
          <t>A.8.24</t>
        </is>
      </c>
      <c r="B86" s="28" t="inlineStr">
        <is>
          <t>Use of cryptography</t>
        </is>
      </c>
      <c r="C86" s="28" t="inlineStr">
        <is>
          <t>A.8 Technological</t>
        </is>
      </c>
      <c r="D86" s="29" t="inlineStr">
        <is>
          <t>Yes</t>
        </is>
      </c>
      <c r="E86" s="31" t="inlineStr">
        <is>
          <t>Implemented</t>
        </is>
      </c>
      <c r="F86" s="28" t="inlineStr">
        <is>
          <t>KMS-managed keys for RDS, S3, EBS; TLS 1.2+ for all in-transit data; key rotation annually.</t>
        </is>
      </c>
      <c r="G86" s="28" t="inlineStr">
        <is>
          <t>KMS key policies; Cryptography SOP.</t>
        </is>
      </c>
      <c r="H86" s="28" t="inlineStr">
        <is>
          <t>R-01, R-03, R-04</t>
        </is>
      </c>
      <c r="I86" s="28" t="inlineStr">
        <is>
          <t>Cloud Platform / SRE</t>
        </is>
      </c>
    </row>
    <row r="87" ht="48" customHeight="1" s="18">
      <c r="A87" s="28" t="inlineStr">
        <is>
          <t>A.8.25</t>
        </is>
      </c>
      <c r="B87" s="28" t="inlineStr">
        <is>
          <t>Secure development life cycle</t>
        </is>
      </c>
      <c r="C87" s="28" t="inlineStr">
        <is>
          <t>A.8 Technological</t>
        </is>
      </c>
      <c r="D87" s="29" t="inlineStr">
        <is>
          <t>Yes</t>
        </is>
      </c>
      <c r="E87" s="30" t="inlineStr">
        <is>
          <t>Partially Implemented</t>
        </is>
      </c>
      <c r="F87" s="28" t="inlineStr">
        <is>
          <t>Security requirements in design phase; threat modeling for new features; automated SAST in CI.</t>
        </is>
      </c>
      <c r="G87" s="28" t="inlineStr">
        <is>
          <t>SDLC policy; SAST reports.</t>
        </is>
      </c>
      <c r="H87" s="28" t="inlineStr">
        <is>
          <t>R-01</t>
        </is>
      </c>
      <c r="I87" s="28" t="inlineStr">
        <is>
          <t>Engineering / Platform</t>
        </is>
      </c>
    </row>
    <row r="88" ht="48" customHeight="1" s="18">
      <c r="A88" s="28" t="inlineStr">
        <is>
          <t>A.8.26</t>
        </is>
      </c>
      <c r="B88" s="28" t="inlineStr">
        <is>
          <t>Application security requirements</t>
        </is>
      </c>
      <c r="C88" s="28" t="inlineStr">
        <is>
          <t>A.8 Technological</t>
        </is>
      </c>
      <c r="D88" s="29" t="inlineStr">
        <is>
          <t>Yes</t>
        </is>
      </c>
      <c r="E88" s="30" t="inlineStr">
        <is>
          <t>Partially Implemented</t>
        </is>
      </c>
      <c r="F88" s="28" t="inlineStr">
        <is>
          <t>OWASP ASVS L2 targeted for customer-facing endpoints; auth/authz requirements in every story.</t>
        </is>
      </c>
      <c r="G88" s="28" t="inlineStr">
        <is>
          <t>ASVS checklist; PR template.</t>
        </is>
      </c>
      <c r="H88" s="28" t="inlineStr">
        <is>
          <t>R-01</t>
        </is>
      </c>
      <c r="I88" s="28" t="inlineStr">
        <is>
          <t>Engineering / Platform</t>
        </is>
      </c>
    </row>
    <row r="89" ht="48" customHeight="1" s="18">
      <c r="A89" s="28" t="inlineStr">
        <is>
          <t>A.8.27</t>
        </is>
      </c>
      <c r="B89" s="28" t="inlineStr">
        <is>
          <t>Secure system architecture and engineering principles</t>
        </is>
      </c>
      <c r="C89" s="28" t="inlineStr">
        <is>
          <t>A.8 Technological</t>
        </is>
      </c>
      <c r="D89" s="29" t="inlineStr">
        <is>
          <t>Yes</t>
        </is>
      </c>
      <c r="E89" s="31" t="inlineStr">
        <is>
          <t>Implemented</t>
        </is>
      </c>
      <c r="F89" s="28" t="inlineStr">
        <is>
          <t>Defense-in-depth, least privilege, and zero-trust documented as architecture tenets.</t>
        </is>
      </c>
      <c r="G89" s="28" t="inlineStr">
        <is>
          <t>Architecture tenets doc.</t>
        </is>
      </c>
      <c r="H89" s="28" t="inlineStr">
        <is>
          <t>R-01, R-02</t>
        </is>
      </c>
      <c r="I89" s="28" t="inlineStr">
        <is>
          <t>Engineering / Platform</t>
        </is>
      </c>
    </row>
    <row r="90" ht="48" customHeight="1" s="18">
      <c r="A90" s="28" t="inlineStr">
        <is>
          <t>A.8.28</t>
        </is>
      </c>
      <c r="B90" s="28" t="inlineStr">
        <is>
          <t>Secure coding</t>
        </is>
      </c>
      <c r="C90" s="28" t="inlineStr">
        <is>
          <t>A.8 Technological</t>
        </is>
      </c>
      <c r="D90" s="29" t="inlineStr">
        <is>
          <t>Yes</t>
        </is>
      </c>
      <c r="E90" s="30" t="inlineStr">
        <is>
          <t>Partially Implemented</t>
        </is>
      </c>
      <c r="F90" s="28" t="inlineStr">
        <is>
          <t>Secure coding guidelines published; peer review required; SAST gates in CI.</t>
        </is>
      </c>
      <c r="G90" s="28" t="inlineStr">
        <is>
          <t>Coding guidelines; CI pipeline config.</t>
        </is>
      </c>
      <c r="H90" s="28" t="inlineStr">
        <is>
          <t>R-01</t>
        </is>
      </c>
      <c r="I90" s="28" t="inlineStr">
        <is>
          <t>Engineering / Platform</t>
        </is>
      </c>
    </row>
    <row r="91" ht="48" customHeight="1" s="18">
      <c r="A91" s="28" t="inlineStr">
        <is>
          <t>A.8.29</t>
        </is>
      </c>
      <c r="B91" s="28" t="inlineStr">
        <is>
          <t>Security testing in development and acceptance</t>
        </is>
      </c>
      <c r="C91" s="28" t="inlineStr">
        <is>
          <t>A.8 Technological</t>
        </is>
      </c>
      <c r="D91" s="29" t="inlineStr">
        <is>
          <t>Yes</t>
        </is>
      </c>
      <c r="E91" s="30" t="inlineStr">
        <is>
          <t>Partially Implemented</t>
        </is>
      </c>
      <c r="F91" s="28" t="inlineStr">
        <is>
          <t>SAST + SCA in CI; DAST scheduled quarterly; annual external penetration test.</t>
        </is>
      </c>
      <c r="G91" s="28" t="inlineStr">
        <is>
          <t>Latest pentest report.</t>
        </is>
      </c>
      <c r="H91" s="28" t="inlineStr">
        <is>
          <t>R-01</t>
        </is>
      </c>
      <c r="I91" s="28" t="inlineStr">
        <is>
          <t>Engineering / Platform</t>
        </is>
      </c>
    </row>
    <row r="92" ht="48" customHeight="1" s="18">
      <c r="A92" s="28" t="inlineStr">
        <is>
          <t>A.8.30</t>
        </is>
      </c>
      <c r="B92" s="28" t="inlineStr">
        <is>
          <t>Outsourced development</t>
        </is>
      </c>
      <c r="C92" s="28" t="inlineStr">
        <is>
          <t>A.8 Technological</t>
        </is>
      </c>
      <c r="D92" s="33" t="inlineStr">
        <is>
          <t>No</t>
        </is>
      </c>
      <c r="E92" s="34" t="inlineStr">
        <is>
          <t>Not Applicable</t>
        </is>
      </c>
      <c r="F92" s="28" t="inlineStr">
        <is>
          <t>No outsourced development; all code written in-house.</t>
        </is>
      </c>
      <c r="G92" s="28" t="inlineStr">
        <is>
          <t>N/A — excluded based on scope.</t>
        </is>
      </c>
      <c r="H92" s="28" t="n"/>
      <c r="I92" s="28" t="inlineStr">
        <is>
          <t>Engineering / Platform</t>
        </is>
      </c>
    </row>
    <row r="93" ht="48" customHeight="1" s="18">
      <c r="A93" s="28" t="inlineStr">
        <is>
          <t>A.8.31</t>
        </is>
      </c>
      <c r="B93" s="28" t="inlineStr">
        <is>
          <t>Separation of development, test and production environments</t>
        </is>
      </c>
      <c r="C93" s="28" t="inlineStr">
        <is>
          <t>A.8 Technological</t>
        </is>
      </c>
      <c r="D93" s="29" t="inlineStr">
        <is>
          <t>Yes</t>
        </is>
      </c>
      <c r="E93" s="31" t="inlineStr">
        <is>
          <t>Implemented</t>
        </is>
      </c>
      <c r="F93" s="28" t="inlineStr">
        <is>
          <t>Separate AWS accounts for dev, staging, production; no prod data in lower envs.</t>
        </is>
      </c>
      <c r="G93" s="28" t="inlineStr">
        <is>
          <t>AWS Organizations diagram.</t>
        </is>
      </c>
      <c r="H93" s="28" t="inlineStr">
        <is>
          <t>R-02, R-03</t>
        </is>
      </c>
      <c r="I93" s="28" t="inlineStr">
        <is>
          <t>Cloud Platform / SRE</t>
        </is>
      </c>
    </row>
    <row r="94" ht="48" customHeight="1" s="18">
      <c r="A94" s="28" t="inlineStr">
        <is>
          <t>A.8.32</t>
        </is>
      </c>
      <c r="B94" s="28" t="inlineStr">
        <is>
          <t>Change management</t>
        </is>
      </c>
      <c r="C94" s="28" t="inlineStr">
        <is>
          <t>A.8 Technological</t>
        </is>
      </c>
      <c r="D94" s="29" t="inlineStr">
        <is>
          <t>Yes</t>
        </is>
      </c>
      <c r="E94" s="31" t="inlineStr">
        <is>
          <t>Implemented</t>
        </is>
      </c>
      <c r="F94" s="28" t="inlineStr">
        <is>
          <t>All production changes via PR + CAB review; emergency changes logged and reviewed post-hoc.</t>
        </is>
      </c>
      <c r="G94" s="28" t="inlineStr">
        <is>
          <t>CAB charter; change log.</t>
        </is>
      </c>
      <c r="H94" s="28" t="inlineStr">
        <is>
          <t>R-02, R-05</t>
        </is>
      </c>
      <c r="I94" s="28" t="inlineStr">
        <is>
          <t>Cloud Platform / SRE</t>
        </is>
      </c>
    </row>
    <row r="95" ht="48" customHeight="1" s="18">
      <c r="A95" s="28" t="inlineStr">
        <is>
          <t>A.8.33</t>
        </is>
      </c>
      <c r="B95" s="28" t="inlineStr">
        <is>
          <t>Test information</t>
        </is>
      </c>
      <c r="C95" s="28" t="inlineStr">
        <is>
          <t>A.8 Technological</t>
        </is>
      </c>
      <c r="D95" s="29" t="inlineStr">
        <is>
          <t>Yes</t>
        </is>
      </c>
      <c r="E95" s="30" t="inlineStr">
        <is>
          <t>Partially Implemented</t>
        </is>
      </c>
      <c r="F95" s="28" t="inlineStr">
        <is>
          <t>Synthesized or masked data in test environments; no production PII copied down.</t>
        </is>
      </c>
      <c r="G95" s="28" t="inlineStr">
        <is>
          <t>Data masking SOP.</t>
        </is>
      </c>
      <c r="H95" s="28" t="inlineStr">
        <is>
          <t>R-01</t>
        </is>
      </c>
      <c r="I95" s="28" t="inlineStr">
        <is>
          <t>Engineering / Platform</t>
        </is>
      </c>
    </row>
    <row r="96">
      <c r="A96" s="28" t="inlineStr">
        <is>
          <t>A.8.34</t>
        </is>
      </c>
      <c r="B96" s="28" t="inlineStr">
        <is>
          <t>Protection of information systems during audit testing</t>
        </is>
      </c>
      <c r="C96" s="28" t="inlineStr">
        <is>
          <t>A.8 Technological</t>
        </is>
      </c>
      <c r="D96" s="29" t="inlineStr">
        <is>
          <t>Yes</t>
        </is>
      </c>
      <c r="E96" s="30" t="inlineStr">
        <is>
          <t>Partially Implemented</t>
        </is>
      </c>
      <c r="F96" s="28" t="inlineStr">
        <is>
          <t>Audit activities scheduled to avoid production cutover windows; read-only audit roles provisioned.</t>
        </is>
      </c>
      <c r="G96" s="28" t="inlineStr">
        <is>
          <t>Audit coordination SOP.</t>
        </is>
      </c>
      <c r="H96" s="28" t="n"/>
      <c r="I96" s="28" t="inlineStr">
        <is>
          <t>CISO / GRC Lead</t>
        </is>
      </c>
    </row>
  </sheetData>
  <sheetProtection selectLockedCells="0" selectUnlockedCells="0" sheet="1" objects="0" insertRows="0" insertHyperlinks="0" autoFilter="1" scenarios="0" formatColumns="0" deleteColumns="0" insertColumns="0" pivotTables="0" deleteRows="0" formatCells="0" formatRows="0" sort="1" password="96FA"/>
  <mergeCells count="1">
    <mergeCell ref="A1:I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&amp;C&amp;10 &amp;KC2410C&amp;B&amp;"Calibri"&amp;10&amp;K592816Tejaswini Dondeti — Portfolio Sample</oddHeader>
    <oddFooter/>
    <evenHeader>&amp;C&amp;10 &amp;KC2410C&amp;B&amp;"Calibri"&amp;10&amp;K592816Tejaswini Dondeti — Portfolio Sample</evenHeader>
    <evenFooter/>
    <firstHeader/>
    <firstFooter/>
  </headerFooter>
</worksheet>
</file>

<file path=xl/worksheets/sheet3.xml><?xml version="1.0" encoding="utf-8"?>
<worksheet xmlns="http://schemas.openxmlformats.org/spreadsheetml/2006/main">
  <sheetPr filterMode="0">
    <outlinePr summaryBelow="1" summaryRight="1"/>
    <pageSetUpPr fitToPage="0"/>
  </sheetPr>
  <dimension ref="A1:D5"/>
  <sheetViews>
    <sheetView showFormulas="0" showGridLines="1" showRowColHeaders="1" showZeros="1" rightToLeft="0" tabSelected="0" showOutlineSymbols="1" defaultGridColor="1" view="normal" topLeftCell="A1" colorId="64" zoomScale="100" zoomScaleNormal="100" zoomScalePageLayoutView="100" workbookViewId="0">
      <pane ySplit="1" topLeftCell="A2" activePane="bottomLeft" state="frozen"/>
      <selection pane="bottomLeft" activeCell="A1" activeCellId="0" sqref="A1"/>
    </sheetView>
  </sheetViews>
  <sheetFormatPr baseColWidth="8" defaultColWidth="8.6796875" defaultRowHeight="15" customHeight="0" zeroHeight="0" outlineLevelRow="0"/>
  <cols>
    <col width="10" customWidth="1" style="17" min="1" max="1"/>
    <col width="30" customWidth="1" style="17" min="2" max="2"/>
    <col width="22" customWidth="1" style="17" min="3" max="3"/>
    <col width="100" customWidth="1" style="17" min="4" max="4"/>
  </cols>
  <sheetData>
    <row r="1" ht="30" customHeight="1" s="18">
      <c r="A1" s="19" t="inlineStr">
        <is>
          <t>Tejaswini Dondeti — Portfolio Sample  •  tejaswinidondeti.github.io  •  Read-only preview — please do not edit or redistribute</t>
        </is>
      </c>
    </row>
    <row r="2">
      <c r="A2" s="21" t="inlineStr">
        <is>
          <t>Applicability Decisions — Exclusions &amp; Rationale</t>
        </is>
      </c>
    </row>
    <row r="3" ht="26.85" customHeight="1" s="18"/>
    <row r="4" ht="60" customHeight="1" s="18">
      <c r="A4" s="27" t="inlineStr">
        <is>
          <t>Control ID</t>
        </is>
      </c>
      <c r="B4" s="27" t="inlineStr">
        <is>
          <t>Control Name</t>
        </is>
      </c>
      <c r="C4" s="27" t="inlineStr">
        <is>
          <t>Decision</t>
        </is>
      </c>
      <c r="D4" s="27" t="inlineStr">
        <is>
          <t>Rationale</t>
        </is>
      </c>
    </row>
    <row r="5">
      <c r="A5" s="28" t="inlineStr">
        <is>
          <t>A.8.30</t>
        </is>
      </c>
      <c r="B5" s="28" t="inlineStr">
        <is>
          <t>Outsourced development</t>
        </is>
      </c>
      <c r="C5" s="28" t="inlineStr">
        <is>
          <t>Excluded (Not Applicable)</t>
        </is>
      </c>
      <c r="D5" s="28" t="inlineStr">
        <is>
          <t>TechStart performs all software development in-house with salaried engineering staff. There is no outsourced development arrangement; therefore this control is not applicable to the ISMS scope. If this changes (e.g., engagement of offshore contract developers), the SoA will be updated and supplier controls under A.5.19–A.5.22 will apply.</t>
        </is>
      </c>
    </row>
  </sheetData>
  <sheetProtection selectLockedCells="0" selectUnlockedCells="0" sheet="1" objects="0" insertRows="0" insertHyperlinks="0" autoFilter="1" scenarios="0" formatColumns="0" deleteColumns="0" insertColumns="0" pivotTables="0" deleteRows="0" formatCells="0" formatRows="0" sort="1" password="96FA"/>
  <mergeCells count="1">
    <mergeCell ref="A1:D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&amp;C&amp;10 &amp;KC2410C&amp;B&amp;"Calibri"&amp;10&amp;K592816Tejaswini Dondeti — Portfolio Sample</oddHeader>
    <oddFooter/>
    <evenHeader>&amp;C&amp;10 &amp;KC2410C&amp;B&amp;"Calibri"&amp;10&amp;K592816Tejaswini Dondeti — Portfolio Sample</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2026-04-21T22:01:45Z</dcterms:created>
  <dcterms:modified xmlns:dcterms="http://purl.org/dc/terms/" xmlns:xsi="http://www.w3.org/2001/XMLSchema-instance" xsi:type="dcterms:W3CDTF">2026-04-21T23:13:57Z</dcterms:modified>
  <cp:revision>0</cp:revision>
</cp:coreProperties>
</file>