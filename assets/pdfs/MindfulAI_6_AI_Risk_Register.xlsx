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96FA" lockStructure="1" lockWindows="0"/>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Risk Register" sheetId="2" state="visible" r:id="rId2"/>
    <sheet xmlns:r="http://schemas.openxmlformats.org/officeDocument/2006/relationships" name="Heat Map" sheetId="3" state="visible" r:id="rId3"/>
    <sheet xmlns:r="http://schemas.openxmlformats.org/officeDocument/2006/relationships" name="NIST AI RMF Mapping" sheetId="4" state="visible" r:id="rId4"/>
    <sheet xmlns:r="http://schemas.openxmlformats.org/officeDocument/2006/relationships" name="Summary" sheetId="5" state="visible" r:id="rId5"/>
    <sheet xmlns:r="http://schemas.openxmlformats.org/officeDocument/2006/relationships" name="Legend" sheetId="6" state="visible" r:id="rId6"/>
  </sheets>
  <definedNames>
    <definedName name="_xlnm._FilterDatabase" localSheetId="1" hidden="1">'Risk Register'!$A$1:$U$7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2E5C8A"/>
      <sz val="26"/>
    </font>
    <font>
      <name val="Arial"/>
      <charset val="1"/>
      <family val="0"/>
      <b val="1"/>
      <color rgb="FF1F3D5A"/>
      <sz val="18"/>
    </font>
    <font>
      <name val="Arial"/>
      <charset val="1"/>
      <family val="0"/>
      <i val="1"/>
      <color rgb="FF1F3D5A"/>
      <sz val="12"/>
    </font>
    <font>
      <name val="Arial"/>
      <charset val="1"/>
      <family val="0"/>
      <b val="1"/>
      <sz val="11"/>
    </font>
    <font>
      <name val="Arial"/>
      <charset val="1"/>
      <family val="0"/>
      <sz val="11"/>
    </font>
    <font>
      <name val="Arial"/>
      <charset val="1"/>
      <family val="0"/>
      <b val="1"/>
      <color rgb="FF2E5C8A"/>
      <sz val="14"/>
    </font>
    <font>
      <name val="Arial"/>
      <charset val="1"/>
      <family val="0"/>
      <i val="1"/>
      <color rgb="FF808080"/>
      <sz val="10"/>
    </font>
    <font>
      <name val="Arial"/>
      <charset val="1"/>
      <family val="0"/>
      <b val="1"/>
      <color rgb="FFFFFFFF"/>
      <sz val="11"/>
    </font>
    <font>
      <name val="Arial"/>
      <charset val="1"/>
      <family val="0"/>
      <b val="1"/>
      <color rgb="FF000000"/>
      <sz val="10"/>
    </font>
    <font>
      <name val="Arial"/>
      <charset val="1"/>
      <family val="0"/>
      <color rgb="FF000000"/>
      <sz val="10"/>
    </font>
    <font>
      <name val="Arial"/>
      <charset val="1"/>
      <family val="0"/>
      <b val="1"/>
      <color rgb="FFFFFFFF"/>
      <sz val="10"/>
    </font>
    <font>
      <name val="Arial"/>
      <charset val="1"/>
      <family val="0"/>
      <b val="1"/>
      <sz val="10"/>
    </font>
    <font>
      <name val="Arial"/>
      <charset val="1"/>
      <family val="0"/>
      <color rgb="FF808080"/>
      <sz val="10"/>
    </font>
    <font>
      <name val="Arial"/>
      <charset val="1"/>
      <family val="0"/>
      <b val="1"/>
      <color rgb="FF2E5C8A"/>
      <sz val="12"/>
    </font>
    <font>
      <name val="Arial"/>
      <charset val="1"/>
      <family val="0"/>
      <sz val="10"/>
    </font>
    <font>
      <name val="Arial"/>
      <charset val="1"/>
      <family val="0"/>
      <b val="1"/>
      <color rgb="FF2E5C8A"/>
      <sz val="16"/>
    </font>
    <font>
      <name val="Calibri"/>
      <b val="1"/>
      <i val="1"/>
      <color rgb="00C2410C"/>
      <sz val="10"/>
    </font>
  </fonts>
  <fills count="9">
    <fill>
      <patternFill/>
    </fill>
    <fill>
      <patternFill patternType="gray125"/>
    </fill>
    <fill>
      <patternFill patternType="solid">
        <fgColor rgb="FF2E5C8A"/>
        <bgColor rgb="FF1F3D5A"/>
      </patternFill>
    </fill>
    <fill>
      <patternFill patternType="solid">
        <fgColor rgb="FFFFF2CC"/>
        <bgColor rgb="FFFFEB9C"/>
      </patternFill>
    </fill>
    <fill>
      <patternFill patternType="solid">
        <fgColor rgb="FFFFEB9C"/>
        <bgColor rgb="FFFFF2CC"/>
      </patternFill>
    </fill>
    <fill>
      <patternFill patternType="solid">
        <fgColor rgb="FFF4B6B6"/>
        <bgColor rgb="FFFF99CC"/>
      </patternFill>
    </fill>
    <fill>
      <patternFill patternType="solid">
        <fgColor rgb="FFC6EFCE"/>
        <bgColor rgb="FFCCFFFF"/>
      </patternFill>
    </fill>
    <fill>
      <patternFill patternType="solid">
        <fgColor rgb="FFE7EEF7"/>
        <bgColor rgb="FFFFFFFF"/>
      </patternFill>
    </fill>
    <fill>
      <patternFill patternType="solid">
        <fgColor rgb="00FFF7ED"/>
        <bgColor rgb="00FFF7ED"/>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top" wrapText="1"/>
    </xf>
    <xf numFmtId="0"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2" borderId="1" applyAlignment="1" pivotButton="0" quotePrefix="0" xfId="0">
      <alignment horizontal="center" vertical="center" wrapText="1"/>
    </xf>
    <xf numFmtId="0" fontId="12" fillId="0" borderId="1" applyAlignment="1" pivotButton="0" quotePrefix="0" xfId="0">
      <alignment horizontal="center" vertical="top" wrapText="1"/>
    </xf>
    <xf numFmtId="0" fontId="13" fillId="0" borderId="1" applyAlignment="1" pivotButton="0" quotePrefix="0" xfId="0">
      <alignment horizontal="left" vertical="top" wrapText="1"/>
    </xf>
    <xf numFmtId="0" fontId="13" fillId="0" borderId="1" applyAlignment="1" pivotButton="0" quotePrefix="0" xfId="0">
      <alignment horizontal="center" vertical="top" wrapText="1"/>
    </xf>
    <xf numFmtId="0" fontId="14" fillId="2" borderId="1" applyAlignment="1" pivotButton="0" quotePrefix="0" xfId="0">
      <alignment horizontal="center" vertical="bottom"/>
    </xf>
    <xf numFmtId="0" fontId="15" fillId="0" borderId="0" applyAlignment="1" pivotButton="0" quotePrefix="0" xfId="0">
      <alignment horizontal="general" vertical="bottom"/>
    </xf>
    <xf numFmtId="0" fontId="14" fillId="2" borderId="1" applyAlignment="1" pivotButton="0" quotePrefix="0" xfId="0">
      <alignment horizontal="center" vertical="center"/>
    </xf>
    <xf numFmtId="0" fontId="16" fillId="3" borderId="1" applyAlignment="1" pivotButton="0" quotePrefix="0" xfId="0">
      <alignment horizontal="center" vertical="center" wrapText="1"/>
    </xf>
    <xf numFmtId="0" fontId="1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16" fillId="5" borderId="1" applyAlignment="1" pivotButton="0" quotePrefix="0" xfId="0">
      <alignment horizontal="center" vertical="center" wrapText="1"/>
    </xf>
    <xf numFmtId="0" fontId="16" fillId="6" borderId="1" applyAlignment="1" pivotButton="0" quotePrefix="0" xfId="0">
      <alignment horizontal="center" vertical="center" wrapText="1"/>
    </xf>
    <xf numFmtId="0" fontId="7" fillId="4" borderId="1" applyAlignment="1" pivotButton="0" quotePrefix="0" xfId="0">
      <alignment horizontal="center" vertical="center" wrapText="1"/>
    </xf>
    <xf numFmtId="0" fontId="15" fillId="0" borderId="0" applyAlignment="1" pivotButton="0" quotePrefix="0" xfId="0">
      <alignment horizontal="center" vertical="bottom"/>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0" fontId="17" fillId="0" borderId="0" applyAlignment="1" pivotButton="0" quotePrefix="0" xfId="0">
      <alignment horizontal="general" vertical="bottom"/>
    </xf>
    <xf numFmtId="0" fontId="15" fillId="5" borderId="1" applyAlignment="1" pivotButton="0" quotePrefix="0" xfId="0">
      <alignment horizontal="center" vertical="bottom"/>
    </xf>
    <xf numFmtId="0" fontId="15" fillId="4" borderId="1" applyAlignment="1" pivotButton="0" quotePrefix="0" xfId="0">
      <alignment horizontal="center" vertical="bottom"/>
    </xf>
    <xf numFmtId="0" fontId="15" fillId="3" borderId="1" applyAlignment="1" pivotButton="0" quotePrefix="0" xfId="0">
      <alignment horizontal="center" vertical="bottom"/>
    </xf>
    <xf numFmtId="0" fontId="15" fillId="6" borderId="1" applyAlignment="1" pivotButton="0" quotePrefix="0" xfId="0">
      <alignment horizontal="center" vertical="bottom"/>
    </xf>
    <xf numFmtId="0" fontId="12" fillId="0" borderId="1" applyAlignment="1" pivotButton="0" quotePrefix="0" xfId="0">
      <alignment horizontal="left" vertical="top" wrapText="1"/>
    </xf>
    <xf numFmtId="0" fontId="11" fillId="2" borderId="1" applyAlignment="1" pivotButton="0" quotePrefix="0" xfId="0">
      <alignment horizontal="center" vertical="center"/>
    </xf>
    <xf numFmtId="0" fontId="18" fillId="0" borderId="2" applyAlignment="1" pivotButton="0" quotePrefix="0" xfId="0">
      <alignment horizontal="general" vertical="top" wrapText="1"/>
    </xf>
    <xf numFmtId="0" fontId="19" fillId="0" borderId="0" applyAlignment="1" pivotButton="0" quotePrefix="0" xfId="0">
      <alignment horizontal="general" vertical="bottom"/>
    </xf>
    <xf numFmtId="0" fontId="12" fillId="5" borderId="1" applyAlignment="1" pivotButton="0" quotePrefix="0" xfId="0">
      <alignment horizontal="left" vertical="top" wrapText="1"/>
    </xf>
    <xf numFmtId="0" fontId="12" fillId="4" borderId="1" applyAlignment="1" pivotButton="0" quotePrefix="0" xfId="0">
      <alignment horizontal="left" vertical="top" wrapText="1"/>
    </xf>
    <xf numFmtId="0" fontId="12" fillId="3" borderId="1" applyAlignment="1" pivotButton="0" quotePrefix="0" xfId="0">
      <alignment horizontal="left" vertical="top" wrapText="1"/>
    </xf>
    <xf numFmtId="0" fontId="12" fillId="6" borderId="1" applyAlignment="1" pivotButton="0" quotePrefix="0" xfId="0">
      <alignment horizontal="left" vertical="top" wrapText="1"/>
    </xf>
    <xf numFmtId="0" fontId="12" fillId="7" borderId="1" applyAlignment="1" pivotButton="0" quotePrefix="0" xfId="0">
      <alignment horizontal="left" vertical="top" wrapText="1"/>
    </xf>
    <xf numFmtId="0" fontId="12" fillId="7" borderId="1" applyAlignment="1" pivotButton="0" quotePrefix="0" xfId="0">
      <alignment horizontal="center" vertical="top" wrapText="1"/>
    </xf>
    <xf numFmtId="164" fontId="13" fillId="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20" fillId="8" borderId="0" applyAlignment="1" pivotButton="0" quotePrefix="0" xfId="0">
      <alignment horizontal="center" vertical="center"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2" borderId="1" applyAlignment="1" pivotButton="0" quotePrefix="0" xfId="0">
      <alignment horizontal="center" vertical="center" wrapText="1"/>
    </xf>
    <xf numFmtId="0" fontId="12" fillId="0" borderId="1" applyAlignment="1" pivotButton="0" quotePrefix="0" xfId="0">
      <alignment horizontal="center" vertical="top" wrapText="1"/>
    </xf>
    <xf numFmtId="0" fontId="13" fillId="0" borderId="1" applyAlignment="1" pivotButton="0" quotePrefix="0" xfId="0">
      <alignment horizontal="left" vertical="top" wrapText="1"/>
    </xf>
    <xf numFmtId="0" fontId="13" fillId="0" borderId="1" applyAlignment="1" pivotButton="0" quotePrefix="0" xfId="0">
      <alignment horizontal="center" vertical="top" wrapText="1"/>
    </xf>
    <xf numFmtId="0" fontId="14" fillId="2" borderId="1" applyAlignment="1" pivotButton="0" quotePrefix="0" xfId="0">
      <alignment horizontal="center" vertical="bottom"/>
    </xf>
    <xf numFmtId="0" fontId="15" fillId="0" borderId="0" applyAlignment="1" pivotButton="0" quotePrefix="0" xfId="0">
      <alignment horizontal="general" vertical="bottom"/>
    </xf>
    <xf numFmtId="0" fontId="14" fillId="2" borderId="1" applyAlignment="1" pivotButton="0" quotePrefix="0" xfId="0">
      <alignment horizontal="center" vertical="center"/>
    </xf>
    <xf numFmtId="0" fontId="16" fillId="3" borderId="1" applyAlignment="1" pivotButton="0" quotePrefix="0" xfId="0">
      <alignment horizontal="center" vertical="center" wrapText="1"/>
    </xf>
    <xf numFmtId="0" fontId="1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16" fillId="5" borderId="1" applyAlignment="1" pivotButton="0" quotePrefix="0" xfId="0">
      <alignment horizontal="center" vertical="center" wrapText="1"/>
    </xf>
    <xf numFmtId="0" fontId="16" fillId="6" borderId="1" applyAlignment="1" pivotButton="0" quotePrefix="0" xfId="0">
      <alignment horizontal="center" vertical="center" wrapText="1"/>
    </xf>
    <xf numFmtId="0" fontId="7" fillId="4" borderId="1" applyAlignment="1" pivotButton="0" quotePrefix="0" xfId="0">
      <alignment horizontal="center" vertical="center" wrapText="1"/>
    </xf>
    <xf numFmtId="0" fontId="15" fillId="0" borderId="0" applyAlignment="1" pivotButton="0" quotePrefix="0" xfId="0">
      <alignment horizontal="center" vertical="bottom"/>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0" fontId="17" fillId="0" borderId="0" applyAlignment="1" pivotButton="0" quotePrefix="0" xfId="0">
      <alignment horizontal="general" vertical="bottom"/>
    </xf>
    <xf numFmtId="0" fontId="15" fillId="5" borderId="1" applyAlignment="1" pivotButton="0" quotePrefix="0" xfId="0">
      <alignment horizontal="center" vertical="bottom"/>
    </xf>
    <xf numFmtId="0" fontId="15" fillId="4" borderId="1" applyAlignment="1" pivotButton="0" quotePrefix="0" xfId="0">
      <alignment horizontal="center" vertical="bottom"/>
    </xf>
    <xf numFmtId="0" fontId="15" fillId="3" borderId="1" applyAlignment="1" pivotButton="0" quotePrefix="0" xfId="0">
      <alignment horizontal="center" vertical="bottom"/>
    </xf>
    <xf numFmtId="0" fontId="15" fillId="6" borderId="1" applyAlignment="1" pivotButton="0" quotePrefix="0" xfId="0">
      <alignment horizontal="center" vertical="bottom"/>
    </xf>
    <xf numFmtId="0" fontId="12" fillId="0" borderId="1" applyAlignment="1" pivotButton="0" quotePrefix="0" xfId="0">
      <alignment horizontal="left" vertical="top" wrapText="1"/>
    </xf>
    <xf numFmtId="0" fontId="11" fillId="2" borderId="1" applyAlignment="1" pivotButton="0" quotePrefix="0" xfId="0">
      <alignment horizontal="center" vertical="center"/>
    </xf>
    <xf numFmtId="0" fontId="18" fillId="0" borderId="2" applyAlignment="1" pivotButton="0" quotePrefix="0" xfId="0">
      <alignment horizontal="general" vertical="top" wrapText="1"/>
    </xf>
    <xf numFmtId="0" fontId="0" fillId="0" borderId="4" pivotButton="0" quotePrefix="0" xfId="0"/>
    <xf numFmtId="0" fontId="19" fillId="0" borderId="0" applyAlignment="1" pivotButton="0" quotePrefix="0" xfId="0">
      <alignment horizontal="general" vertical="bottom"/>
    </xf>
    <xf numFmtId="0" fontId="12" fillId="5" borderId="1" applyAlignment="1" pivotButton="0" quotePrefix="0" xfId="0">
      <alignment horizontal="left" vertical="top" wrapText="1"/>
    </xf>
    <xf numFmtId="0" fontId="12" fillId="4" borderId="1" applyAlignment="1" pivotButton="0" quotePrefix="0" xfId="0">
      <alignment horizontal="left" vertical="top" wrapText="1"/>
    </xf>
    <xf numFmtId="0" fontId="12" fillId="3" borderId="1" applyAlignment="1" pivotButton="0" quotePrefix="0" xfId="0">
      <alignment horizontal="left" vertical="top" wrapText="1"/>
    </xf>
    <xf numFmtId="0" fontId="12" fillId="6" borderId="1" applyAlignment="1" pivotButton="0" quotePrefix="0" xfId="0">
      <alignment horizontal="left" vertical="top" wrapText="1"/>
    </xf>
    <xf numFmtId="0" fontId="12" fillId="7" borderId="1" applyAlignment="1" pivotButton="0" quotePrefix="0" xfId="0">
      <alignment horizontal="left" vertical="top" wrapText="1"/>
    </xf>
    <xf numFmtId="0" fontId="12" fillId="7" borderId="1" applyAlignment="1" pivotButton="0" quotePrefix="0" xfId="0">
      <alignment horizontal="center" vertical="top" wrapText="1"/>
    </xf>
    <xf numFmtId="164" fontId="13" fillId="0"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2E5C8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4B6B6"/>
          <bgColor rgb="FF000000"/>
        </patternFill>
      </fill>
    </dxf>
    <dxf>
      <fill>
        <patternFill patternType="solid">
          <fgColor rgb="FFFFEB9C"/>
          <bgColor rgb="FF000000"/>
        </patternFill>
      </fill>
    </dxf>
    <dxf>
      <fill>
        <patternFill patternType="solid">
          <fgColor rgb="FFC00000"/>
          <bgColor rgb="FF000000"/>
        </patternFill>
      </fill>
    </dxf>
    <dxf>
      <fill>
        <patternFill patternType="solid">
          <fgColor rgb="FFC6EFCE"/>
          <bgColor rgb="FF000000"/>
        </patternFill>
      </fill>
    </dxf>
    <dxf>
      <fill>
        <patternFill patternType="solid">
          <fgColor rgb="FFFFF2CC"/>
          <bgColor rgb="FF000000"/>
        </patternFill>
      </fill>
    </dxf>
    <dxf>
      <font>
        <name val="Arial"/>
        <charset val="1"/>
        <family val="0"/>
        <b val="1"/>
        <color rgb="FFC00000"/>
        <sz val="10"/>
      </font>
      <fill>
        <patternFill>
          <bgColor rgb="FFF4B6B6"/>
        </patternFill>
      </fill>
    </dxf>
    <dxf>
      <font>
        <name val="Arial"/>
        <charset val="1"/>
        <family val="0"/>
        <b val="1"/>
        <sz val="10"/>
      </font>
      <fill>
        <patternFill>
          <bgColor rgb="FFFFEB9C"/>
        </patternFill>
      </fill>
    </dxf>
    <dxf>
      <font>
        <name val="Arial"/>
        <charset val="1"/>
        <family val="0"/>
        <b val="1"/>
        <sz val="10"/>
      </font>
      <fill>
        <patternFill>
          <bgColor rgb="FFFFF2CC"/>
        </patternFill>
      </fill>
    </dxf>
    <dxf>
      <font>
        <name val="Arial"/>
        <charset val="1"/>
        <family val="0"/>
        <b val="1"/>
        <sz val="10"/>
      </font>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7EE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4B6B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E5C8A"/>
      <rgbColor rgb="FF1F3D5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7"/>
  <sheetViews>
    <sheetView showFormulas="0" showGridLines="0"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0" zeroHeight="0" outlineLevelRow="0"/>
  <cols>
    <col width="3" customWidth="1" style="42" min="1" max="1"/>
    <col width="32" customWidth="1" style="42" min="2" max="2"/>
    <col width="72" customWidth="1" style="42" min="3" max="3"/>
  </cols>
  <sheetData>
    <row r="1" ht="30" customHeight="1" s="43">
      <c r="A1" s="44" t="inlineStr">
        <is>
          <t>Tejaswini Dondeti — Portfolio Sample  •  tejaswinidondeti.github.io  •  Read-only preview — please do not edit or redistribute</t>
        </is>
      </c>
    </row>
    <row r="2" ht="31.5" customHeight="1" s="43"/>
    <row r="3" ht="22.05" customHeight="1" s="43">
      <c r="B3" s="45" t="inlineStr">
        <is>
          <t>MindfulAI Labs</t>
        </is>
      </c>
    </row>
    <row r="4" ht="15" customHeight="1" s="43">
      <c r="B4" s="46" t="inlineStr">
        <is>
          <t>AI Risk Register &amp; Heat Map</t>
        </is>
      </c>
    </row>
    <row r="5">
      <c r="B5" s="47" t="inlineStr">
        <is>
          <t>Aligned with ISO/IEC 42001:2023, NIST AI RMF 1.0, EU AI Act</t>
        </is>
      </c>
    </row>
    <row r="6" ht="15" customHeight="1" s="43"/>
    <row r="7" ht="15" customHeight="1" s="43">
      <c r="B7" s="48" t="inlineStr">
        <is>
          <t>Document ID:</t>
        </is>
      </c>
      <c r="C7" s="49" t="inlineStr">
        <is>
          <t>MA-AIMS-RR-001</t>
        </is>
      </c>
    </row>
    <row r="8" ht="15" customHeight="1" s="43">
      <c r="B8" s="48" t="inlineStr">
        <is>
          <t>Version:</t>
        </is>
      </c>
      <c r="C8" s="49" t="inlineStr">
        <is>
          <t>1.0</t>
        </is>
      </c>
    </row>
    <row r="9" ht="15" customHeight="1" s="43">
      <c r="B9" s="48" t="inlineStr">
        <is>
          <t>Effective Date:</t>
        </is>
      </c>
      <c r="C9" s="49" t="inlineStr">
        <is>
          <t>March 2026</t>
        </is>
      </c>
    </row>
    <row r="10" ht="15" customHeight="1" s="43">
      <c r="B10" s="48" t="inlineStr">
        <is>
          <t>Document Owner:</t>
        </is>
      </c>
      <c r="C10" s="49" t="inlineStr">
        <is>
          <t>AI Governance Lead</t>
        </is>
      </c>
    </row>
    <row r="11" ht="15" customHeight="1" s="43">
      <c r="B11" s="48" t="inlineStr">
        <is>
          <t>Approver:</t>
        </is>
      </c>
      <c r="C11" s="49" t="inlineStr">
        <is>
          <t>Chief Risk Officer</t>
        </is>
      </c>
    </row>
    <row r="12" ht="15" customHeight="1" s="43">
      <c r="B12" s="48" t="inlineStr">
        <is>
          <t>Review Cycle:</t>
        </is>
      </c>
      <c r="C12" s="49" t="inlineStr">
        <is>
          <t>Quarterly; triggered on new AI system, incident, or regulatory change</t>
        </is>
      </c>
    </row>
    <row r="13" ht="15" customHeight="1" s="43">
      <c r="B13" s="48" t="inlineStr">
        <is>
          <t>Classification:</t>
        </is>
      </c>
      <c r="C13" s="49" t="inlineStr">
        <is>
          <t>CONFIDENTIAL</t>
        </is>
      </c>
    </row>
    <row r="14" ht="15" customHeight="1" s="43">
      <c r="B14" s="48" t="inlineStr">
        <is>
          <t>Risk Scoring Model:</t>
        </is>
      </c>
      <c r="C14" s="49" t="inlineStr">
        <is>
          <t>5 × 5 Likelihood × Impact matrix</t>
        </is>
      </c>
    </row>
    <row r="15">
      <c r="B15" s="48" t="inlineStr">
        <is>
          <t>Scope:</t>
        </is>
      </c>
      <c r="C15" s="49" t="inlineStr">
        <is>
          <t>All AI systems in MindfulAI's AI Inventory (5 systems)</t>
        </is>
      </c>
    </row>
    <row r="16" ht="17.35" customHeight="1" s="43"/>
    <row r="17" ht="15" customHeight="1" s="43">
      <c r="B17" s="50" t="inlineStr">
        <is>
          <t>How this register works</t>
        </is>
      </c>
    </row>
    <row r="18" ht="15" customHeight="1" s="43">
      <c r="B18" s="49" t="inlineStr">
        <is>
          <t>Each risk has an INHERENT score (before controls) and a RESIDUAL score (after current controls). Risk = Likelihood (1–5) × Impact (1–5). Scores ≥15 are Critical; 10–14 High; 5–9 Medium; &lt;5 Low. Sheets: (1) Cover — this page. (2) Risk Register — full risk list. (3) Heat Map — 5x5 matrix views (inherent and residual). (4) NIST AI RMF Mapping — cross-reference to framework functions. (5) Summary — counts and exposure by rating. (6) Legend — scoring scales and treatment types.</t>
        </is>
      </c>
    </row>
    <row r="19" ht="15" customHeight="1" s="43"/>
    <row r="20" ht="15" customHeight="1" s="43"/>
    <row r="21" ht="15" customHeight="1" s="43"/>
    <row r="22" ht="15" customHeight="1" s="43"/>
    <row r="23"/>
    <row r="24" ht="15" customHeight="1" s="43"/>
    <row r="25" ht="15" customHeight="1" s="43">
      <c r="B25" s="51" t="inlineStr">
        <is>
          <t>Note: Self-directed project artifact</t>
        </is>
      </c>
    </row>
    <row r="26" ht="15" customHeight="1" s="43">
      <c r="B26" s="52" t="inlineStr">
        <is>
          <t>This document is part of a self-directed AI governance project; it is not an operational document of any real organisation.</t>
        </is>
      </c>
    </row>
    <row r="27"/>
  </sheetData>
  <sheetProtection selectLockedCells="0" selectUnlockedCells="0" sheet="1" objects="0" insertRows="0" insertHyperlinks="0" autoFilter="1" scenarios="0" formatColumns="0" deleteColumns="0" insertColumns="0" pivotTables="0" deleteRows="0" formatCells="0" formatRows="0" sort="1" password="96FA"/>
  <mergeCells count="3">
    <mergeCell ref="A1:C1"/>
    <mergeCell ref="B25:C26"/>
    <mergeCell ref="B17:C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U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9" customWidth="1" style="42" min="1" max="1"/>
    <col width="42" customWidth="1" style="42" min="2" max="2"/>
    <col width="20" customWidth="1" style="42" min="3" max="3"/>
    <col width="28" customWidth="1" style="42" min="4" max="4"/>
    <col width="22" customWidth="1" style="42" min="5" max="5"/>
    <col width="9" customWidth="1" style="42" min="6" max="7"/>
    <col width="10" customWidth="1" style="42" min="8" max="8"/>
    <col width="12" customWidth="1" style="42" min="9" max="9"/>
    <col width="13" customWidth="1" style="42" min="10" max="10"/>
    <col width="55" customWidth="1" style="42" min="11" max="11"/>
    <col width="9" customWidth="1" style="42" min="12" max="13"/>
    <col width="10" customWidth="1" style="42" min="14" max="14"/>
    <col width="12" customWidth="1" style="42" min="15" max="15"/>
    <col width="16" customWidth="1" style="42" min="16" max="16"/>
    <col width="28" customWidth="1" style="42" min="17" max="17"/>
    <col width="32" customWidth="1" style="42" min="18" max="18"/>
    <col width="22" customWidth="1" style="42" min="19" max="19"/>
    <col width="20" customWidth="1" style="42" min="20" max="20"/>
    <col width="55" customWidth="1" style="42" min="21" max="21"/>
  </cols>
  <sheetData>
    <row r="1" ht="30" customHeight="1" s="43">
      <c r="A1" s="44" t="inlineStr">
        <is>
          <t>Tejaswini Dondeti — Portfolio Sample  •  tejaswinidondeti.github.io  •  Read-only preview — please do not edit or redistribute</t>
        </is>
      </c>
    </row>
    <row r="2" ht="150" customHeight="1" s="43">
      <c r="A2" s="53" t="inlineStr">
        <is>
          <t>Risk ID</t>
        </is>
      </c>
      <c r="B2" s="53" t="inlineStr">
        <is>
          <t>Title</t>
        </is>
      </c>
      <c r="C2" s="53" t="inlineStr">
        <is>
          <t>Category</t>
        </is>
      </c>
      <c r="D2" s="53" t="inlineStr">
        <is>
          <t>AI Systems</t>
        </is>
      </c>
      <c r="E2" s="53" t="inlineStr">
        <is>
          <t>Owner</t>
        </is>
      </c>
      <c r="F2" s="53" t="inlineStr">
        <is>
          <t>Inherent L</t>
        </is>
      </c>
      <c r="G2" s="53" t="inlineStr">
        <is>
          <t>Inherent I</t>
        </is>
      </c>
      <c r="H2" s="53" t="inlineStr">
        <is>
          <t>Inherent Score</t>
        </is>
      </c>
      <c r="I2" s="53" t="inlineStr">
        <is>
          <t>Inherent Rating</t>
        </is>
      </c>
      <c r="J2" s="53" t="inlineStr">
        <is>
          <t>Treatment</t>
        </is>
      </c>
      <c r="K2" s="53" t="inlineStr">
        <is>
          <t>Treatment Actions</t>
        </is>
      </c>
      <c r="L2" s="53" t="inlineStr">
        <is>
          <t>Residual L</t>
        </is>
      </c>
      <c r="M2" s="53" t="inlineStr">
        <is>
          <t>Residual I</t>
        </is>
      </c>
      <c r="N2" s="53" t="inlineStr">
        <is>
          <t>Residual Score</t>
        </is>
      </c>
      <c r="O2" s="53" t="inlineStr">
        <is>
          <t>Residual Rating</t>
        </is>
      </c>
      <c r="P2" s="53" t="inlineStr">
        <is>
          <t>Controls</t>
        </is>
      </c>
      <c r="Q2" s="53" t="inlineStr">
        <is>
          <t>NIST AI RMF</t>
        </is>
      </c>
      <c r="R2" s="53" t="inlineStr">
        <is>
          <t>EU AI Act Articles</t>
        </is>
      </c>
      <c r="S2" s="53" t="inlineStr">
        <is>
          <t>Target Date</t>
        </is>
      </c>
      <c r="T2" s="53" t="inlineStr">
        <is>
          <t>Status</t>
        </is>
      </c>
      <c r="U2" s="53" t="inlineStr">
        <is>
          <t>Description</t>
        </is>
      </c>
    </row>
    <row r="3" ht="150" customHeight="1" s="43">
      <c r="A3" s="54" t="inlineStr">
        <is>
          <t>R-01</t>
        </is>
      </c>
      <c r="B3" s="55" t="inlineStr">
        <is>
          <t>Algorithmic Bias Causing Discriminatory Healthcare Diagnostics</t>
        </is>
      </c>
      <c r="C3" s="55" t="inlineStr">
        <is>
          <t>Fairness / Bias</t>
        </is>
      </c>
      <c r="D3" s="55" t="inlineStr">
        <is>
          <t>MedVision AI, CreditLens AI</t>
        </is>
      </c>
      <c r="E3" s="55" t="inlineStr">
        <is>
          <t>VP of Healthcare AI</t>
        </is>
      </c>
      <c r="F3" s="56" t="n">
        <v>3</v>
      </c>
      <c r="G3" s="56" t="n">
        <v>5</v>
      </c>
      <c r="H3" s="56">
        <f>F2*G2</f>
        <v/>
      </c>
      <c r="I3" s="54">
        <f>IF(H2&gt;=15,"Critical",IF(H2&gt;=10,"High",IF(H2&gt;=5,"Medium","Low")))</f>
        <v/>
      </c>
      <c r="J3" s="56" t="inlineStr">
        <is>
          <t>Mitigate</t>
        </is>
      </c>
      <c r="K3" s="55" t="inlineStr">
        <is>
          <t>1) Curated diverse training data across 120 institutions / 15 countries; 2) Monthly fairness audits with subgroup sensitivity/specificity reporting; 3) Max 2% sensitivity gap internal tolerance; 4) Blind first-read protocol for MedVision to prevent automation bias; 5) 4/5ths-rule monitoring on CreditLens with Fair Lending Committee review; 6) AI Fairness &amp; Bias Mitigation Policy (MA-AIMS-POL-002) with escalation.</t>
        </is>
      </c>
      <c r="L3" s="56" t="n">
        <v>2</v>
      </c>
      <c r="M3" s="56" t="n">
        <v>3</v>
      </c>
      <c r="N3" s="56">
        <f>L2*M2</f>
        <v/>
      </c>
      <c r="O3" s="54">
        <f>IF(N2&gt;=15,"Critical",IF(N2&gt;=10,"High",IF(N2&gt;=5,"Medium","Low")))</f>
        <v/>
      </c>
      <c r="P3" s="55" t="inlineStr">
        <is>
          <t>AIC-01, AIC-02, AIC-05</t>
        </is>
      </c>
      <c r="Q3" s="55" t="inlineStr">
        <is>
          <t>MAP-2.3, MEASURE-2.11, MANAGE-2.3</t>
        </is>
      </c>
      <c r="R3" s="55" t="inlineStr">
        <is>
          <t>Art. 10 (data governance); Art. 15 (accuracy &amp; robustness); Art. 9 (risk management)</t>
        </is>
      </c>
      <c r="S3" s="55" t="inlineStr">
        <is>
          <t>Ongoing — continuous monitoring</t>
        </is>
      </c>
      <c r="T3" s="55" t="inlineStr">
        <is>
          <t>Treated — monitored</t>
        </is>
      </c>
      <c r="U3" s="55" t="inlineStr">
        <is>
          <t>MedVision AI may perform differently across demographic groups if training data is not sufficiently representative. A well-documented 2019 healthcare algorithm study (Obermeyer et al., Science) showed racial bias in a widely-used US model. MindfulAI risks include demographic-skewed sensitivity (e.g., 96% for one group and 88% for another), label bias, and under-representation of low-resource populations.</t>
        </is>
      </c>
    </row>
    <row r="4" ht="150" customHeight="1" s="43">
      <c r="A4" s="54" t="inlineStr">
        <is>
          <t>R-02</t>
        </is>
      </c>
      <c r="B4" s="55" t="inlineStr">
        <is>
          <t>Lack of AI Explainability Leading to Regulatory Non-Compliance</t>
        </is>
      </c>
      <c r="C4" s="55" t="inlineStr">
        <is>
          <t>Transparency / Explainability</t>
        </is>
      </c>
      <c r="D4" s="55" t="inlineStr">
        <is>
          <t>MedVision AI, CreditLens AI</t>
        </is>
      </c>
      <c r="E4" s="55" t="inlineStr">
        <is>
          <t>AI Governance Lead</t>
        </is>
      </c>
      <c r="F4" s="56" t="n">
        <v>4</v>
      </c>
      <c r="G4" s="56" t="n">
        <v>4</v>
      </c>
      <c r="H4" s="56">
        <f>F3*G3</f>
        <v/>
      </c>
      <c r="I4" s="54">
        <f>IF(H3&gt;=15,"Critical",IF(H3&gt;=10,"High",IF(H3&gt;=5,"Medium","Low")))</f>
        <v/>
      </c>
      <c r="J4" s="56" t="inlineStr">
        <is>
          <t>Mitigate</t>
        </is>
      </c>
      <c r="K4" s="55" t="inlineStr">
        <is>
          <t>1) Layered explainability framework (technical / deployer / user / affected-individual); 2) Grad-CAM heatmaps + textual findings for MedVision; 3) Plain-language adverse action notices for CreditLens with top-4 reason codes; 4) Model Cards (MA-AIMS-MC-001) published per system; 5) EU AI Act technical file prepared per Annex IV.</t>
        </is>
      </c>
      <c r="L4" s="56" t="n">
        <v>2</v>
      </c>
      <c r="M4" s="56" t="n">
        <v>4</v>
      </c>
      <c r="N4" s="56">
        <f>L3*M3</f>
        <v/>
      </c>
      <c r="O4" s="54">
        <f>IF(N3&gt;=15,"Critical",IF(N3&gt;=10,"High",IF(N3&gt;=5,"Medium","Low")))</f>
        <v/>
      </c>
      <c r="P4" s="55" t="inlineStr">
        <is>
          <t>AIC-03, AIC-07, AIC-09</t>
        </is>
      </c>
      <c r="Q4" s="55" t="inlineStr">
        <is>
          <t>GOVERN-1.7, MAP-1.5, MEASURE-2.8</t>
        </is>
      </c>
      <c r="R4" s="55" t="inlineStr">
        <is>
          <t>Art. 13 (transparency); Art. 86 (right to explanation); Art. 11 (technical docs)</t>
        </is>
      </c>
      <c r="S4" s="55" t="inlineStr">
        <is>
          <t>Q3 2026 (full EU AI Act technical files)</t>
        </is>
      </c>
      <c r="T4" s="55" t="inlineStr">
        <is>
          <t>Treated — in progress</t>
        </is>
      </c>
      <c r="U4" s="55" t="inlineStr">
        <is>
          <t>EU AI Act Art. 13 requires high-risk AI to be sufficiently transparent; Art. 86 grants individuals a right to explanation. MedVision uses a CNN (black-box); CreditLens uses 142 features in a GBDT. Current explanations exist (Grad-CAM, top-5 features) but are not always consumer-friendly.</t>
        </is>
      </c>
    </row>
    <row r="5" ht="150" customHeight="1" s="43">
      <c r="A5" s="54" t="inlineStr">
        <is>
          <t>R-03</t>
        </is>
      </c>
      <c r="B5" s="55" t="inlineStr">
        <is>
          <t>AI Model Drift Causing Degraded Performance in Production</t>
        </is>
      </c>
      <c r="C5" s="55" t="inlineStr">
        <is>
          <t>Reliability / Performance</t>
        </is>
      </c>
      <c r="D5" s="55" t="inlineStr">
        <is>
          <t>MedVision AI, CreditLens AI, FraudShield AI</t>
        </is>
      </c>
      <c r="E5" s="55" t="inlineStr">
        <is>
          <t>Director of MLOps</t>
        </is>
      </c>
      <c r="F5" s="56" t="n">
        <v>4</v>
      </c>
      <c r="G5" s="56" t="n">
        <v>4</v>
      </c>
      <c r="H5" s="56">
        <f>F4*G4</f>
        <v/>
      </c>
      <c r="I5" s="54">
        <f>IF(H4&gt;=15,"Critical",IF(H4&gt;=10,"High",IF(H4&gt;=5,"Medium","Low")))</f>
        <v/>
      </c>
      <c r="J5" s="56" t="inlineStr">
        <is>
          <t>Mitigate</t>
        </is>
      </c>
      <c r="K5" s="55" t="inlineStr">
        <is>
          <t>1) Continuous drift detection (KL-divergence, PSI) with alerting; 2) Demographic-stratified performance monitoring; 3) Monthly FraudShield retraining; 6-monthly CreditLens recalibration; 4) Shadow-mode and canary deployments via MLOps platform; 5) Automated rollback on metric SLO breach.</t>
        </is>
      </c>
      <c r="L5" s="56" t="n">
        <v>2</v>
      </c>
      <c r="M5" s="56" t="n">
        <v>3</v>
      </c>
      <c r="N5" s="56">
        <f>L4*M4</f>
        <v/>
      </c>
      <c r="O5" s="54">
        <f>IF(N4&gt;=15,"Critical",IF(N4&gt;=10,"High",IF(N4&gt;=5,"Medium","Low")))</f>
        <v/>
      </c>
      <c r="P5" s="55" t="inlineStr">
        <is>
          <t>AIC-06, AIC-08</t>
        </is>
      </c>
      <c r="Q5" s="55" t="inlineStr">
        <is>
          <t>MEASURE-2.4, MEASURE-3.1, MANAGE-4.1</t>
        </is>
      </c>
      <c r="R5" s="55" t="inlineStr">
        <is>
          <t>Art. 9 (risk management); Art. 15 (robustness); Art. 17 (quality management)</t>
        </is>
      </c>
      <c r="S5" s="55" t="inlineStr">
        <is>
          <t>Ongoing — continuous monitoring</t>
        </is>
      </c>
      <c r="T5" s="55" t="inlineStr">
        <is>
          <t>Treated — monitored</t>
        </is>
      </c>
      <c r="U5" s="55" t="inlineStr">
        <is>
          <t>Data drift, concept drift, and performance drift can silently degrade models. MedVision trained on specific scanner models degrades when hospitals upgrade. CreditLens trained pre-pandemic may have invalidated assumptions. FraudShield needs to outpace monthly-evolving fraud tactics.</t>
        </is>
      </c>
    </row>
    <row r="6" ht="150" customHeight="1" s="43">
      <c r="A6" s="54" t="inlineStr">
        <is>
          <t>R-04</t>
        </is>
      </c>
      <c r="B6" s="55" t="inlineStr">
        <is>
          <t>Training Data Privacy Violations Under GDPR and PIPEDA</t>
        </is>
      </c>
      <c r="C6" s="55" t="inlineStr">
        <is>
          <t>Privacy / Data Protection</t>
        </is>
      </c>
      <c r="D6" s="55" t="inlineStr">
        <is>
          <t>AI Training Data Platform; all downstream models</t>
        </is>
      </c>
      <c r="E6" s="55" t="inlineStr">
        <is>
          <t>Chief Data Officer</t>
        </is>
      </c>
      <c r="F6" s="56" t="n">
        <v>3</v>
      </c>
      <c r="G6" s="56" t="n">
        <v>4</v>
      </c>
      <c r="H6" s="56">
        <f>F5*G5</f>
        <v/>
      </c>
      <c r="I6" s="54">
        <f>IF(H5&gt;=15,"Critical",IF(H5&gt;=10,"High",IF(H5&gt;=5,"Medium","Low")))</f>
        <v/>
      </c>
      <c r="J6" s="56" t="inlineStr">
        <is>
          <t>Mitigate</t>
        </is>
      </c>
      <c r="K6" s="55" t="inlineStr">
        <is>
          <t>1) DPIA per dataset; Article 30 records of processing; 2) IRB/REB approvals tracked per contributing institution; 3) Standard Contractual Clauses + supplementary measures for EU→Canada transfers; 4) Differential-privacy + pseudonymisation on training data where feasible; 5) Documented erasure procedure (retrain-without + output suppression); 6) AI Data Governance &amp; Privacy Policy (MA-AIMS-POL-003).</t>
        </is>
      </c>
      <c r="L6" s="56" t="n">
        <v>2</v>
      </c>
      <c r="M6" s="56" t="n">
        <v>2</v>
      </c>
      <c r="N6" s="56">
        <f>L5*M5</f>
        <v/>
      </c>
      <c r="O6" s="54">
        <f>IF(N5&gt;=15,"Critical",IF(N5&gt;=10,"High",IF(N5&gt;=5,"Medium","Low")))</f>
        <v/>
      </c>
      <c r="P6" s="55" t="inlineStr">
        <is>
          <t>AIC-05, AIC-10</t>
        </is>
      </c>
      <c r="Q6" s="55" t="inlineStr">
        <is>
          <t>GOVERN-1.1, MAP-4.1, MANAGE-2.2</t>
        </is>
      </c>
      <c r="R6" s="55" t="inlineStr">
        <is>
          <t>GDPR Art. 5, 6, 9, 17, 25, 30, 32, 35, 44-49; PIPEDA; EU AI Act Art. 10</t>
        </is>
      </c>
      <c r="S6" s="55" t="inlineStr">
        <is>
          <t>Q2 2026 (erasure SOP); ongoing</t>
        </is>
      </c>
      <c r="T6" s="55" t="inlineStr">
        <is>
          <t>Treated — in progress</t>
        </is>
      </c>
      <c r="U6" s="55" t="inlineStr">
        <is>
          <t>Training data includes 2.8M medical images and 8.5M credit records — all personal data under GDPR and PIPEDA. Risks: consent scope, purpose limitation, cross-border transfer (Chapter V), data minimisation, and right-to-erasure against trained weights.</t>
        </is>
      </c>
    </row>
    <row r="7" ht="150" customHeight="1" s="43">
      <c r="A7" s="54" t="inlineStr">
        <is>
          <t>R-05</t>
        </is>
      </c>
      <c r="B7" s="55" t="inlineStr">
        <is>
          <t>Insufficient Human Oversight — Automation Bias &amp; Accountability Gap</t>
        </is>
      </c>
      <c r="C7" s="55" t="inlineStr">
        <is>
          <t>Human Oversight / Accountability</t>
        </is>
      </c>
      <c r="D7" s="55" t="inlineStr">
        <is>
          <t>MedVision AI, CreditLens AI, FraudShield AI</t>
        </is>
      </c>
      <c r="E7" s="55" t="inlineStr">
        <is>
          <t>AI Governance Lead</t>
        </is>
      </c>
      <c r="F7" s="56" t="n">
        <v>3</v>
      </c>
      <c r="G7" s="56" t="n">
        <v>5</v>
      </c>
      <c r="H7" s="56">
        <f>F6*G6</f>
        <v/>
      </c>
      <c r="I7" s="54">
        <f>IF(H6&gt;=15,"Critical",IF(H6&gt;=10,"High",IF(H6&gt;=5,"Medium","Low")))</f>
        <v/>
      </c>
      <c r="J7" s="56" t="inlineStr">
        <is>
          <t>Mitigate</t>
        </is>
      </c>
      <c r="K7" s="55" t="inlineStr">
        <is>
          <t>1) Blind-first-read protocol for MedVision radiologists; 2) Mandatory human decision for CreditLens &gt;$50K and all denials; 3) Tiered automation for FraudShield with &lt;100ms human-review routing; 4) Override logging with reason codes; quarterly automation-bias audits; 5) Annual human-factors training for all deployed users; 6) Explicit accountability matrix in customer contracts.</t>
        </is>
      </c>
      <c r="L7" s="56" t="n">
        <v>2</v>
      </c>
      <c r="M7" s="56" t="n">
        <v>3</v>
      </c>
      <c r="N7" s="56">
        <f>L6*M6</f>
        <v/>
      </c>
      <c r="O7" s="54">
        <f>IF(N6&gt;=15,"Critical",IF(N6&gt;=10,"High",IF(N6&gt;=5,"Medium","Low")))</f>
        <v/>
      </c>
      <c r="P7" s="55" t="inlineStr">
        <is>
          <t>AIC-04, AIC-07</t>
        </is>
      </c>
      <c r="Q7" s="55" t="inlineStr">
        <is>
          <t>GOVERN-1.3, GOVERN-1.5, MANAGE-1.3</t>
        </is>
      </c>
      <c r="R7" s="55" t="inlineStr">
        <is>
          <t>Art. 14 (human oversight); Art. 26 (deployer obligations)</t>
        </is>
      </c>
      <c r="S7" s="55" t="inlineStr">
        <is>
          <t>Q2 2026 (override audit dashboard)</t>
        </is>
      </c>
      <c r="T7" s="55" t="inlineStr">
        <is>
          <t>Treated — in progress</t>
        </is>
      </c>
      <c r="U7" s="55" t="inlineStr">
        <is>
          <t>EU AI Act Art. 14 requires effective human oversight. Risks include automation bias (radiologists deferring to AI), alert fatigue on FraudShield, skill atrophy for clinicians, and ambiguous liability when errors occur.</t>
        </is>
      </c>
    </row>
    <row r="8">
      <c r="A8" s="54" t="inlineStr">
        <is>
          <t>R-06</t>
        </is>
      </c>
      <c r="B8" s="55" t="inlineStr">
        <is>
          <t>EU AI Act Non-Compliance — Incomplete Conformity Assessment</t>
        </is>
      </c>
      <c r="C8" s="55" t="inlineStr">
        <is>
          <t>Regulatory Compliance</t>
        </is>
      </c>
      <c r="D8" s="55" t="inlineStr">
        <is>
          <t>MedVision AI, CreditLens AI (high-risk); others as general-purpose AI</t>
        </is>
      </c>
      <c r="E8" s="55" t="inlineStr">
        <is>
          <t>AI Governance Lead</t>
        </is>
      </c>
      <c r="F8" s="56" t="n">
        <v>4</v>
      </c>
      <c r="G8" s="56" t="n">
        <v>5</v>
      </c>
      <c r="H8" s="56">
        <f>F7*G7</f>
        <v/>
      </c>
      <c r="I8" s="54">
        <f>IF(H7&gt;=15,"Critical",IF(H7&gt;=10,"High",IF(H7&gt;=5,"Medium","Low")))</f>
        <v/>
      </c>
      <c r="J8" s="56" t="inlineStr">
        <is>
          <t>Mitigate</t>
        </is>
      </c>
      <c r="K8" s="55" t="inlineStr">
        <is>
          <t>1) Appoint EU Authorised Representative (Art. 22); 2) Complete technical file for each high-risk system per Annex IV; 3) Engage notified body for MedVision conformity assessment (Class IIa MDR + AI Act); 4) Self-assessment file for CreditLens; 5) ISO 42001 certification readiness review; 6) Register systems in EU AI database (Art. 49); 7) Post-market monitoring plan per Art. 72.</t>
        </is>
      </c>
      <c r="L8" s="56" t="n">
        <v>2</v>
      </c>
      <c r="M8" s="56" t="n">
        <v>4</v>
      </c>
      <c r="N8" s="56">
        <f>L7*M7</f>
        <v/>
      </c>
      <c r="O8" s="54">
        <f>IF(N7&gt;=15,"Critical",IF(N7&gt;=10,"High",IF(N7&gt;=5,"Medium","Low")))</f>
        <v/>
      </c>
      <c r="P8" s="55" t="inlineStr">
        <is>
          <t>AIC-01, AIC-09, AIC-10</t>
        </is>
      </c>
      <c r="Q8" s="55" t="inlineStr">
        <is>
          <t>GOVERN-1.1, GOVERN-4.1, MANAGE-2.1</t>
        </is>
      </c>
      <c r="R8" s="55" t="inlineStr">
        <is>
          <t>Art. 9, 10, 11, 13, 14, 15, 17, 22, 43, 47, 49; Annex IV</t>
        </is>
      </c>
      <c r="S8" s="55" t="inlineStr">
        <is>
          <t>Q4 2026 (notified-body engagement); Q2 2027 (CE marking)</t>
        </is>
      </c>
      <c r="T8" s="55" t="inlineStr">
        <is>
          <t>Treated — in progress</t>
        </is>
      </c>
      <c r="U8" s="55" t="inlineStr">
        <is>
          <t>High-risk AI systems must undergo EU AI Act conformity assessment prior to market placement: technical documentation per Annex IV, risk management system (Art. 9), QMS (Art. 17), registration in the EU database (Art. 49), EU declaration of conformity, and CE marking. MindfulAI currently has documentation gaps, no designated EU authorised representative, and no completed conformity assessment.</t>
        </is>
      </c>
    </row>
  </sheetData>
  <sheetProtection selectLockedCells="0" selectUnlockedCells="0" sheet="1" objects="0" insertRows="0" insertHyperlinks="0" autoFilter="1" scenarios="0" formatColumns="0" deleteColumns="0" insertColumns="0" pivotTables="0" deleteRows="0" formatCells="0" formatRows="0" sort="1" password="96FA"/>
  <autoFilter ref="A1:U7"/>
  <mergeCells count="1">
    <mergeCell ref="A1:U1"/>
  </mergeCells>
  <conditionalFormatting sqref="H2:H7">
    <cfRule type="expression" rank="0" priority="2" equalAverage="0" aboveAverage="0" dxfId="9" text="" percent="0" bottom="0">
      <formula>$H2&gt;=15</formula>
    </cfRule>
    <cfRule type="expression" rank="0" priority="3" equalAverage="0" aboveAverage="0" dxfId="10" text="" percent="0" bottom="0">
      <formula>AND($H2&gt;=10,$H2&lt;15)</formula>
    </cfRule>
    <cfRule type="expression" rank="0" priority="4" equalAverage="0" aboveAverage="0" dxfId="11" text="" percent="0" bottom="0">
      <formula>AND($H2&gt;=5,$H2&lt;10)</formula>
    </cfRule>
    <cfRule type="expression" rank="0" priority="5" equalAverage="0" aboveAverage="0" dxfId="12" text="" percent="0" bottom="0">
      <formula>$H2&lt;5</formula>
    </cfRule>
  </conditionalFormatting>
  <conditionalFormatting sqref="N2:N7">
    <cfRule type="expression" rank="0" priority="6" equalAverage="0" aboveAverage="0" dxfId="9" text="" percent="0" bottom="0">
      <formula>$N2&gt;=15</formula>
    </cfRule>
    <cfRule type="expression" rank="0" priority="7" equalAverage="0" aboveAverage="0" dxfId="10" text="" percent="0" bottom="0">
      <formula>AND($N2&gt;=10,$N2&lt;15)</formula>
    </cfRule>
    <cfRule type="expression" rank="0" priority="8" equalAverage="0" aboveAverage="0" dxfId="11" text="" percent="0" bottom="0">
      <formula>AND($N2&gt;=5,$N2&lt;10)</formula>
    </cfRule>
    <cfRule type="expression" rank="0" priority="9" equalAverage="0" aboveAverage="0" dxfId="12" text="" percent="0" bottom="0">
      <formula>$N2&lt;5</formula>
    </cfRule>
  </conditionalFormatting>
  <conditionalFormatting sqref="I2:I7">
    <cfRule type="expression" rank="0" priority="10" equalAverage="0" aboveAverage="0" dxfId="9" text="" percent="0" bottom="0">
      <formula>$I2="Critical"</formula>
    </cfRule>
    <cfRule type="expression" rank="0" priority="11" equalAverage="0" aboveAverage="0" dxfId="10" text="" percent="0" bottom="0">
      <formula>$I2="High"</formula>
    </cfRule>
    <cfRule type="expression" rank="0" priority="12" equalAverage="0" aboveAverage="0" dxfId="11" text="" percent="0" bottom="0">
      <formula>$I2="Medium"</formula>
    </cfRule>
    <cfRule type="expression" rank="0" priority="13" equalAverage="0" aboveAverage="0" dxfId="12" text="" percent="0" bottom="0">
      <formula>$I2="Low"</formula>
    </cfRule>
  </conditionalFormatting>
  <conditionalFormatting sqref="O2:O7">
    <cfRule type="expression" rank="0" priority="14" equalAverage="0" aboveAverage="0" dxfId="9" text="" percent="0" bottom="0">
      <formula>$O2="Critical"</formula>
    </cfRule>
    <cfRule type="expression" rank="0" priority="15" equalAverage="0" aboveAverage="0" dxfId="10" text="" percent="0" bottom="0">
      <formula>$O2="High"</formula>
    </cfRule>
    <cfRule type="expression" rank="0" priority="16" equalAverage="0" aboveAverage="0" dxfId="11" text="" percent="0" bottom="0">
      <formula>$O2="Medium"</formula>
    </cfRule>
    <cfRule type="expression" rank="0" priority="17" equalAverage="0" aboveAverage="0" dxfId="12" text="" percent="0" bottom="0">
      <formula>$O2="Low"</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G29"/>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0" zeroHeight="0" outlineLevelRow="0"/>
  <cols>
    <col width="14" customWidth="1" style="42" min="2" max="8"/>
  </cols>
  <sheetData>
    <row r="1" ht="30" customHeight="1" s="43">
      <c r="A1" s="44" t="inlineStr">
        <is>
          <t>Tejaswini Dondeti — Portfolio Sample  •  tejaswinidondeti.github.io  •  Read-only preview — please do not edit or redistribute</t>
        </is>
      </c>
    </row>
    <row r="2" ht="17.35" customHeight="1" s="43"/>
    <row r="3" ht="15" customHeight="1" s="43">
      <c r="B3" s="50" t="inlineStr">
        <is>
          <t>Inherent Risk Heat Map (before controls)</t>
        </is>
      </c>
    </row>
    <row r="4" ht="27.75" customHeight="1" s="43">
      <c r="C4" s="57" t="n">
        <v>1</v>
      </c>
      <c r="D4" s="57" t="n">
        <v>2</v>
      </c>
      <c r="E4" s="57" t="n">
        <v>3</v>
      </c>
      <c r="F4" s="57" t="n">
        <v>4</v>
      </c>
      <c r="G4" s="57" t="n">
        <v>5</v>
      </c>
    </row>
    <row r="5" ht="27.75" customHeight="1" s="43">
      <c r="A5" s="58" t="inlineStr">
        <is>
          <t>Impact ↑</t>
        </is>
      </c>
      <c r="B5" s="59" t="n">
        <v>5</v>
      </c>
      <c r="C5" s="60" t="n"/>
      <c r="D5" s="61" t="n"/>
      <c r="E5" s="62" t="inlineStr">
        <is>
          <t>R-01, R-05</t>
        </is>
      </c>
      <c r="F5" s="62" t="inlineStr">
        <is>
          <t>R-06</t>
        </is>
      </c>
      <c r="G5" s="63" t="n"/>
    </row>
    <row r="6" ht="27.75" customHeight="1" s="43">
      <c r="B6" s="59" t="n">
        <v>4</v>
      </c>
      <c r="C6" s="64" t="n"/>
      <c r="D6" s="60" t="n"/>
      <c r="E6" s="65" t="inlineStr">
        <is>
          <t>R-04</t>
        </is>
      </c>
      <c r="F6" s="62" t="inlineStr">
        <is>
          <t>R-02, R-03</t>
        </is>
      </c>
      <c r="G6" s="63" t="n"/>
    </row>
    <row r="7" ht="27.75" customHeight="1" s="43">
      <c r="B7" s="59" t="n">
        <v>3</v>
      </c>
      <c r="C7" s="64" t="n"/>
      <c r="D7" s="60" t="n"/>
      <c r="E7" s="60" t="n"/>
      <c r="F7" s="61" t="n"/>
      <c r="G7" s="63" t="n"/>
    </row>
    <row r="8" ht="27.75" customHeight="1" s="43">
      <c r="B8" s="59" t="n">
        <v>2</v>
      </c>
      <c r="C8" s="64" t="n"/>
      <c r="D8" s="64" t="n"/>
      <c r="E8" s="60" t="n"/>
      <c r="F8" s="60" t="n"/>
      <c r="G8" s="61" t="n"/>
    </row>
    <row r="9">
      <c r="B9" s="59" t="n">
        <v>1</v>
      </c>
      <c r="C9" s="64" t="n"/>
      <c r="D9" s="64" t="n"/>
      <c r="E9" s="64" t="n"/>
      <c r="F9" s="64" t="n"/>
      <c r="G9" s="60" t="n"/>
    </row>
    <row r="10"/>
    <row r="11" ht="15" customHeight="1" s="43"/>
    <row r="12">
      <c r="E12" s="66" t="inlineStr">
        <is>
          <t>Likelihood →</t>
        </is>
      </c>
    </row>
    <row r="13" ht="17.35" customHeight="1" s="43"/>
    <row r="14" ht="15" customHeight="1" s="43">
      <c r="B14" s="50" t="inlineStr">
        <is>
          <t>Residual Risk Heat Map (after current controls)</t>
        </is>
      </c>
    </row>
    <row r="15" ht="27.75" customHeight="1" s="43">
      <c r="C15" s="57" t="n">
        <v>1</v>
      </c>
      <c r="D15" s="57" t="n">
        <v>2</v>
      </c>
      <c r="E15" s="57" t="n">
        <v>3</v>
      </c>
      <c r="F15" s="57" t="n">
        <v>4</v>
      </c>
      <c r="G15" s="57" t="n">
        <v>5</v>
      </c>
    </row>
    <row r="16" ht="27.75" customHeight="1" s="43">
      <c r="A16" s="58" t="inlineStr">
        <is>
          <t>Impact ↑</t>
        </is>
      </c>
      <c r="B16" s="59" t="n">
        <v>5</v>
      </c>
      <c r="C16" s="60" t="n"/>
      <c r="D16" s="61" t="n"/>
      <c r="E16" s="63" t="n"/>
      <c r="F16" s="63" t="n"/>
      <c r="G16" s="63" t="n"/>
    </row>
    <row r="17" ht="27.75" customHeight="1" s="43">
      <c r="B17" s="59" t="n">
        <v>4</v>
      </c>
      <c r="C17" s="64" t="n"/>
      <c r="D17" s="67" t="inlineStr">
        <is>
          <t>R-02, R-06</t>
        </is>
      </c>
      <c r="E17" s="61" t="n"/>
      <c r="F17" s="63" t="n"/>
      <c r="G17" s="63" t="n"/>
    </row>
    <row r="18" ht="27.75" customHeight="1" s="43">
      <c r="B18" s="59" t="n">
        <v>3</v>
      </c>
      <c r="C18" s="64" t="n"/>
      <c r="D18" s="67" t="inlineStr">
        <is>
          <t>R-01, R-03, R-05</t>
        </is>
      </c>
      <c r="E18" s="60" t="n"/>
      <c r="F18" s="61" t="n"/>
      <c r="G18" s="63" t="n"/>
    </row>
    <row r="19" ht="27.75" customHeight="1" s="43">
      <c r="B19" s="59" t="n">
        <v>2</v>
      </c>
      <c r="C19" s="64" t="n"/>
      <c r="D19" s="68" t="inlineStr">
        <is>
          <t>R-04</t>
        </is>
      </c>
      <c r="E19" s="60" t="n"/>
      <c r="F19" s="60" t="n"/>
      <c r="G19" s="61" t="n"/>
    </row>
    <row r="20">
      <c r="B20" s="59" t="n">
        <v>1</v>
      </c>
      <c r="C20" s="64" t="n"/>
      <c r="D20" s="64" t="n"/>
      <c r="E20" s="64" t="n"/>
      <c r="F20" s="64" t="n"/>
      <c r="G20" s="60" t="n"/>
    </row>
    <row r="21"/>
    <row r="22" ht="15" customHeight="1" s="43"/>
    <row r="23">
      <c r="E23" s="66" t="inlineStr">
        <is>
          <t>Likelihood →</t>
        </is>
      </c>
    </row>
    <row r="24" ht="15" customHeight="1" s="43"/>
    <row r="25" ht="15" customHeight="1" s="43">
      <c r="B25" s="69" t="inlineStr">
        <is>
          <t>Heat Map Legend</t>
        </is>
      </c>
    </row>
    <row r="26" ht="15" customHeight="1" s="43">
      <c r="B26" s="70" t="inlineStr">
        <is>
          <t>Critical (≥15)</t>
        </is>
      </c>
    </row>
    <row r="27" ht="15" customHeight="1" s="43">
      <c r="B27" s="71" t="inlineStr">
        <is>
          <t>High (10–14)</t>
        </is>
      </c>
    </row>
    <row r="28" ht="15" customHeight="1" s="43">
      <c r="B28" s="72" t="inlineStr">
        <is>
          <t>Medium (5–9)</t>
        </is>
      </c>
    </row>
    <row r="29">
      <c r="B29" s="73" t="inlineStr">
        <is>
          <t>Low (&lt;5)</t>
        </is>
      </c>
    </row>
  </sheetData>
  <sheetProtection selectLockedCells="0" selectUnlockedCells="0" sheet="1" objects="0" insertRows="0" insertHyperlinks="0" autoFilter="1" scenarios="0" formatColumns="0" deleteColumns="0" insertColumns="0" pivotTables="0" deleteRows="0" formatCells="0" formatRows="0" sort="1" password="96F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E16"/>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0" zeroHeight="0" outlineLevelRow="0"/>
  <cols>
    <col width="10" customWidth="1" style="42" min="1" max="1"/>
    <col width="40" customWidth="1" style="42" min="2" max="3"/>
    <col width="28" customWidth="1" style="42" min="4" max="4"/>
    <col width="38" customWidth="1" style="42" min="5" max="5"/>
  </cols>
  <sheetData>
    <row r="1" ht="30" customHeight="1" s="43">
      <c r="A1" s="44" t="inlineStr">
        <is>
          <t>Tejaswini Dondeti — Portfolio Sample  •  tejaswinidondeti.github.io  •  Read-only preview — please do not edit or redistribute</t>
        </is>
      </c>
    </row>
    <row r="2" ht="60" customHeight="1" s="43">
      <c r="A2" s="53" t="inlineStr">
        <is>
          <t>Risk ID</t>
        </is>
      </c>
      <c r="B2" s="53" t="inlineStr">
        <is>
          <t>Risk Title</t>
        </is>
      </c>
      <c r="C2" s="53" t="inlineStr">
        <is>
          <t>NIST AI RMF Subcategories</t>
        </is>
      </c>
      <c r="D2" s="53" t="inlineStr">
        <is>
          <t>Function</t>
        </is>
      </c>
      <c r="E2" s="53" t="inlineStr">
        <is>
          <t>EU AI Act Articles</t>
        </is>
      </c>
    </row>
    <row r="3" ht="60" customHeight="1" s="43">
      <c r="A3" s="74" t="inlineStr">
        <is>
          <t>R-01</t>
        </is>
      </c>
      <c r="B3" s="55" t="inlineStr">
        <is>
          <t>Algorithmic Bias Causing Discriminatory Healthcare Diagnostics</t>
        </is>
      </c>
      <c r="C3" s="55" t="inlineStr">
        <is>
          <t>MAP-2.3, MEASURE-2.11, MANAGE-2.3</t>
        </is>
      </c>
      <c r="D3" s="55" t="inlineStr">
        <is>
          <t>MAP / MEASURE / MANAGE</t>
        </is>
      </c>
      <c r="E3" s="55" t="inlineStr">
        <is>
          <t>Art. 10 (data governance); Art. 15 (accuracy &amp; robustness); Art. 9 (risk management)</t>
        </is>
      </c>
    </row>
    <row r="4" ht="60" customHeight="1" s="43">
      <c r="A4" s="74" t="inlineStr">
        <is>
          <t>R-02</t>
        </is>
      </c>
      <c r="B4" s="55" t="inlineStr">
        <is>
          <t>Lack of AI Explainability Leading to Regulatory Non-Compliance</t>
        </is>
      </c>
      <c r="C4" s="55" t="inlineStr">
        <is>
          <t>GOVERN-1.7, MAP-1.5, MEASURE-2.8</t>
        </is>
      </c>
      <c r="D4" s="55" t="inlineStr">
        <is>
          <t>GOVERN / MAP / MEASURE</t>
        </is>
      </c>
      <c r="E4" s="55" t="inlineStr">
        <is>
          <t>Art. 13 (transparency); Art. 86 (right to explanation); Art. 11 (technical docs)</t>
        </is>
      </c>
    </row>
    <row r="5" ht="60" customHeight="1" s="43">
      <c r="A5" s="74" t="inlineStr">
        <is>
          <t>R-03</t>
        </is>
      </c>
      <c r="B5" s="55" t="inlineStr">
        <is>
          <t>AI Model Drift Causing Degraded Performance in Production</t>
        </is>
      </c>
      <c r="C5" s="55" t="inlineStr">
        <is>
          <t>MEASURE-2.4, MEASURE-3.1, MANAGE-4.1</t>
        </is>
      </c>
      <c r="D5" s="55" t="inlineStr">
        <is>
          <t>MEASURE / MANAGE</t>
        </is>
      </c>
      <c r="E5" s="55" t="inlineStr">
        <is>
          <t>Art. 9 (risk management); Art. 15 (robustness); Art. 17 (quality management)</t>
        </is>
      </c>
    </row>
    <row r="6" ht="60" customHeight="1" s="43">
      <c r="A6" s="74" t="inlineStr">
        <is>
          <t>R-04</t>
        </is>
      </c>
      <c r="B6" s="55" t="inlineStr">
        <is>
          <t>Training Data Privacy Violations Under GDPR and PIPEDA</t>
        </is>
      </c>
      <c r="C6" s="55" t="inlineStr">
        <is>
          <t>GOVERN-1.1, MAP-4.1, MANAGE-2.2</t>
        </is>
      </c>
      <c r="D6" s="55" t="inlineStr">
        <is>
          <t>GOVERN / MAP / MANAGE</t>
        </is>
      </c>
      <c r="E6" s="55" t="inlineStr">
        <is>
          <t>GDPR Art. 5, 6, 9, 17, 25, 30, 32, 35, 44-49; PIPEDA; EU AI Act Art. 10</t>
        </is>
      </c>
    </row>
    <row r="7" ht="60" customHeight="1" s="43">
      <c r="A7" s="74" t="inlineStr">
        <is>
          <t>R-05</t>
        </is>
      </c>
      <c r="B7" s="55" t="inlineStr">
        <is>
          <t>Insufficient Human Oversight — Automation Bias &amp; Accountability Gap</t>
        </is>
      </c>
      <c r="C7" s="55" t="inlineStr">
        <is>
          <t>GOVERN-1.3, GOVERN-1.5, MANAGE-1.3</t>
        </is>
      </c>
      <c r="D7" s="55" t="inlineStr">
        <is>
          <t>GOVERN / MANAGE</t>
        </is>
      </c>
      <c r="E7" s="55" t="inlineStr">
        <is>
          <t>Art. 14 (human oversight); Art. 26 (deployer obligations)</t>
        </is>
      </c>
    </row>
    <row r="8">
      <c r="A8" s="74" t="inlineStr">
        <is>
          <t>R-06</t>
        </is>
      </c>
      <c r="B8" s="55" t="inlineStr">
        <is>
          <t>EU AI Act Non-Compliance — Incomplete Conformity Assessment</t>
        </is>
      </c>
      <c r="C8" s="55" t="inlineStr">
        <is>
          <t>GOVERN-1.1, GOVERN-4.1, MANAGE-2.1</t>
        </is>
      </c>
      <c r="D8" s="55" t="inlineStr">
        <is>
          <t>GOVERN / MANAGE</t>
        </is>
      </c>
      <c r="E8" s="55" t="inlineStr">
        <is>
          <t>Art. 9, 10, 11, 13, 14, 15, 17, 22, 43, 47, 49; Annex IV</t>
        </is>
      </c>
    </row>
    <row r="9"/>
    <row r="10" ht="17.35" customHeight="1" s="43"/>
    <row r="11">
      <c r="A11" s="50" t="inlineStr">
        <is>
          <t>NIST AI RMF 1.0 — Core Functions</t>
        </is>
      </c>
    </row>
    <row r="12" ht="37.5" customHeight="1" s="43"/>
    <row r="13" ht="37.5" customHeight="1" s="43">
      <c r="A13" s="75" t="inlineStr">
        <is>
          <t>GOVERN</t>
        </is>
      </c>
      <c r="B13" s="76" t="inlineStr">
        <is>
          <t>Cultivate a culture of risk management; policies, accountability, training, workforce.</t>
        </is>
      </c>
      <c r="C13" s="77" t="n"/>
      <c r="D13" s="77" t="n"/>
      <c r="E13" s="77" t="n"/>
    </row>
    <row r="14" ht="37.5" customHeight="1" s="43">
      <c r="A14" s="75" t="inlineStr">
        <is>
          <t>MAP</t>
        </is>
      </c>
      <c r="B14" s="76" t="inlineStr">
        <is>
          <t>Establish the context and categorise AI system risks in relation to use, data, and stakeholders.</t>
        </is>
      </c>
      <c r="C14" s="77" t="n"/>
      <c r="D14" s="77" t="n"/>
      <c r="E14" s="77" t="n"/>
    </row>
    <row r="15" ht="37.5" customHeight="1" s="43">
      <c r="A15" s="75" t="inlineStr">
        <is>
          <t>MEASURE</t>
        </is>
      </c>
      <c r="B15" s="76" t="inlineStr">
        <is>
          <t>Analyse, assess, benchmark, and monitor AI risks using quantitative and qualitative methods.</t>
        </is>
      </c>
      <c r="C15" s="77" t="n"/>
      <c r="D15" s="77" t="n"/>
      <c r="E15" s="77" t="n"/>
    </row>
    <row r="16">
      <c r="A16" s="75" t="inlineStr">
        <is>
          <t>MANAGE</t>
        </is>
      </c>
      <c r="B16" s="76" t="inlineStr">
        <is>
          <t>Allocate resources to prioritise, respond to, and monitor identified risks.</t>
        </is>
      </c>
      <c r="C16" s="77" t="n"/>
      <c r="D16" s="77" t="n"/>
      <c r="E16" s="77" t="n"/>
    </row>
  </sheetData>
  <sheetProtection selectLockedCells="0" selectUnlockedCells="0" sheet="1" objects="0" insertRows="0" insertHyperlinks="0" autoFilter="1" scenarios="0" formatColumns="0" deleteColumns="0" insertColumns="0" pivotTables="0" deleteRows="0" formatCells="0" formatRows="0" sort="1" password="96FA"/>
  <mergeCells count="5">
    <mergeCell ref="B12:E12"/>
    <mergeCell ref="B13:E13"/>
    <mergeCell ref="B15:E15"/>
    <mergeCell ref="A1:E1"/>
    <mergeCell ref="B14:E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xl/worksheets/sheet5.xml><?xml version="1.0" encoding="utf-8"?>
<worksheet xmlns="http://schemas.openxmlformats.org/spreadsheetml/2006/main">
  <sheetPr filterMode="0">
    <outlinePr summaryBelow="1" summaryRight="1"/>
    <pageSetUpPr fitToPage="0"/>
  </sheetPr>
  <dimension ref="A1:F28"/>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0" zeroHeight="0" outlineLevelRow="0"/>
  <cols>
    <col width="3" customWidth="1" style="42" min="1" max="1"/>
    <col width="26" customWidth="1" style="42" min="2" max="2"/>
    <col width="14" customWidth="1" style="42" min="3" max="6"/>
  </cols>
  <sheetData>
    <row r="1" ht="30" customHeight="1" s="43">
      <c r="A1" s="44" t="inlineStr">
        <is>
          <t>Tejaswini Dondeti — Portfolio Sample  •  tejaswinidondeti.github.io  •  Read-only preview — please do not edit or redistribute</t>
        </is>
      </c>
    </row>
    <row r="2" ht="19.7" customHeight="1" s="43"/>
    <row r="3">
      <c r="B3" s="78" t="inlineStr">
        <is>
          <t>Risk Exposure Summary</t>
        </is>
      </c>
    </row>
    <row r="4" ht="31.5" customHeight="1" s="43"/>
    <row r="5" ht="15" customHeight="1" s="43">
      <c r="B5" s="53" t="inlineStr">
        <is>
          <t>Rating</t>
        </is>
      </c>
      <c r="C5" s="53" t="inlineStr">
        <is>
          <t>Inherent Count</t>
        </is>
      </c>
      <c r="D5" s="53" t="inlineStr">
        <is>
          <t>Residual Count</t>
        </is>
      </c>
      <c r="E5" s="53" t="inlineStr">
        <is>
          <t>Reduction</t>
        </is>
      </c>
      <c r="F5" s="53" t="inlineStr">
        <is>
          <t>Target</t>
        </is>
      </c>
    </row>
    <row r="6" ht="15" customHeight="1" s="43">
      <c r="B6" s="79" t="inlineStr">
        <is>
          <t>Critical</t>
        </is>
      </c>
      <c r="C6" s="56">
        <f>COUNTIF('Risk Register'!I2:I7,"Critical")</f>
        <v/>
      </c>
      <c r="D6" s="56">
        <f>COUNTIF('Risk Register'!O2:O7,"Critical")</f>
        <v/>
      </c>
      <c r="E6" s="56">
        <f>C5-D5</f>
        <v/>
      </c>
      <c r="F6" s="56" t="n">
        <v>0</v>
      </c>
    </row>
    <row r="7" ht="15" customHeight="1" s="43">
      <c r="B7" s="80" t="inlineStr">
        <is>
          <t>High</t>
        </is>
      </c>
      <c r="C7" s="56">
        <f>COUNTIF('Risk Register'!I2:I7,"High")</f>
        <v/>
      </c>
      <c r="D7" s="56">
        <f>COUNTIF('Risk Register'!O2:O7,"High")</f>
        <v/>
      </c>
      <c r="E7" s="56">
        <f>C6-D6</f>
        <v/>
      </c>
      <c r="F7" s="56" t="n">
        <v>1</v>
      </c>
    </row>
    <row r="8" ht="15" customHeight="1" s="43">
      <c r="B8" s="81" t="inlineStr">
        <is>
          <t>Medium</t>
        </is>
      </c>
      <c r="C8" s="56">
        <f>COUNTIF('Risk Register'!I2:I7,"Medium")</f>
        <v/>
      </c>
      <c r="D8" s="56">
        <f>COUNTIF('Risk Register'!O2:O7,"Medium")</f>
        <v/>
      </c>
      <c r="E8" s="56">
        <f>C7-D7</f>
        <v/>
      </c>
      <c r="F8" s="56" t="inlineStr">
        <is>
          <t>—</t>
        </is>
      </c>
    </row>
    <row r="9" ht="15" customHeight="1" s="43">
      <c r="B9" s="82" t="inlineStr">
        <is>
          <t>Low</t>
        </is>
      </c>
      <c r="C9" s="56">
        <f>COUNTIF('Risk Register'!I2:I7,"Low")</f>
        <v/>
      </c>
      <c r="D9" s="56">
        <f>COUNTIF('Risk Register'!O2:O7,"Low")</f>
        <v/>
      </c>
      <c r="E9" s="56">
        <f>C8-D8</f>
        <v/>
      </c>
      <c r="F9" s="56" t="inlineStr">
        <is>
          <t>—</t>
        </is>
      </c>
    </row>
    <row r="10">
      <c r="B10" s="83" t="inlineStr">
        <is>
          <t>TOTAL</t>
        </is>
      </c>
      <c r="C10" s="84">
        <f>SUM(C5:C8)</f>
        <v/>
      </c>
      <c r="D10" s="84">
        <f>SUM(D5:D8)</f>
        <v/>
      </c>
      <c r="E10" s="84">
        <f>C9-D9</f>
        <v/>
      </c>
    </row>
    <row r="11"/>
    <row r="12" ht="17.35" customHeight="1" s="43"/>
    <row r="13" ht="26.85" customHeight="1" s="43">
      <c r="B13" s="50" t="inlineStr">
        <is>
          <t>Risks by Category</t>
        </is>
      </c>
    </row>
    <row r="14" ht="15" customHeight="1" s="43">
      <c r="B14" s="53" t="inlineStr">
        <is>
          <t>Category</t>
        </is>
      </c>
      <c r="C14" s="53" t="inlineStr">
        <is>
          <t>Count</t>
        </is>
      </c>
      <c r="D14" s="53" t="inlineStr">
        <is>
          <t>Critical</t>
        </is>
      </c>
      <c r="E14" s="53" t="inlineStr">
        <is>
          <t>Avg Residual Score</t>
        </is>
      </c>
    </row>
    <row r="15" ht="15" customHeight="1" s="43">
      <c r="B15" s="55" t="inlineStr">
        <is>
          <t>Fairness / Bias</t>
        </is>
      </c>
      <c r="C15" s="56">
        <f>COUNTIF('Risk Register'!C2:C7,"Fairness / Bias")</f>
        <v/>
      </c>
      <c r="D15" s="56">
        <f>COUNTIFS('Risk Register'!C2:C7,"Fairness / Bias",'Risk Register'!O2:O7,"Critical")</f>
        <v/>
      </c>
      <c r="E15" s="85">
        <f>IFERROR(AVERAGEIF('Risk Register'!C2:C7,"Fairness / Bias",'Risk Register'!N2:N7),0)</f>
        <v/>
      </c>
    </row>
    <row r="16" ht="15" customHeight="1" s="43">
      <c r="B16" s="55" t="inlineStr">
        <is>
          <t>Transparency / Explainability</t>
        </is>
      </c>
      <c r="C16" s="56">
        <f>COUNTIF('Risk Register'!C2:C7,"Transparency / Explainability")</f>
        <v/>
      </c>
      <c r="D16" s="56">
        <f>COUNTIFS('Risk Register'!C2:C7,"Transparency / Explainability",'Risk Register'!O2:O7,"Critical")</f>
        <v/>
      </c>
      <c r="E16" s="85">
        <f>IFERROR(AVERAGEIF('Risk Register'!C2:C7,"Transparency / Explainability",'Risk Register'!N2:N7),0)</f>
        <v/>
      </c>
    </row>
    <row r="17" ht="15" customHeight="1" s="43">
      <c r="B17" s="55" t="inlineStr">
        <is>
          <t>Reliability / Performance</t>
        </is>
      </c>
      <c r="C17" s="56">
        <f>COUNTIF('Risk Register'!C2:C7,"Reliability / Performance")</f>
        <v/>
      </c>
      <c r="D17" s="56">
        <f>COUNTIFS('Risk Register'!C2:C7,"Reliability / Performance",'Risk Register'!O2:O7,"Critical")</f>
        <v/>
      </c>
      <c r="E17" s="85">
        <f>IFERROR(AVERAGEIF('Risk Register'!C2:C7,"Reliability / Performance",'Risk Register'!N2:N7),0)</f>
        <v/>
      </c>
    </row>
    <row r="18" ht="23.85" customHeight="1" s="43">
      <c r="B18" s="55" t="inlineStr">
        <is>
          <t>Privacy / Data Protection</t>
        </is>
      </c>
      <c r="C18" s="56">
        <f>COUNTIF('Risk Register'!C2:C7,"Privacy / Data Protection")</f>
        <v/>
      </c>
      <c r="D18" s="56">
        <f>COUNTIFS('Risk Register'!C2:C7,"Privacy / Data Protection",'Risk Register'!O2:O7,"Critical")</f>
        <v/>
      </c>
      <c r="E18" s="85">
        <f>IFERROR(AVERAGEIF('Risk Register'!C2:C7,"Privacy / Data Protection",'Risk Register'!N2:N7),0)</f>
        <v/>
      </c>
    </row>
    <row r="19" ht="15" customHeight="1" s="43">
      <c r="B19" s="55" t="inlineStr">
        <is>
          <t>Human Oversight / Accountability</t>
        </is>
      </c>
      <c r="C19" s="56">
        <f>COUNTIF('Risk Register'!C2:C7,"Human Oversight / Accountability")</f>
        <v/>
      </c>
      <c r="D19" s="56">
        <f>COUNTIFS('Risk Register'!C2:C7,"Human Oversight / Accountability",'Risk Register'!O2:O7,"Critical")</f>
        <v/>
      </c>
      <c r="E19" s="85">
        <f>IFERROR(AVERAGEIF('Risk Register'!C2:C7,"Human Oversight / Accountability",'Risk Register'!N2:N7),0)</f>
        <v/>
      </c>
    </row>
    <row r="20">
      <c r="B20" s="55" t="inlineStr">
        <is>
          <t>Regulatory Compliance</t>
        </is>
      </c>
      <c r="C20" s="56">
        <f>COUNTIF('Risk Register'!C2:C7,"Regulatory Compliance")</f>
        <v/>
      </c>
      <c r="D20" s="56">
        <f>COUNTIFS('Risk Register'!C2:C7,"Regulatory Compliance",'Risk Register'!O2:O7,"Critical")</f>
        <v/>
      </c>
      <c r="E20" s="85">
        <f>IFERROR(AVERAGEIF('Risk Register'!C2:C7,"Regulatory Compliance",'Risk Register'!N2:N7),0)</f>
        <v/>
      </c>
    </row>
    <row r="21"/>
    <row r="22" ht="17.35" customHeight="1" s="43"/>
    <row r="23" ht="26.85" customHeight="1" s="43">
      <c r="B23" s="50" t="inlineStr">
        <is>
          <t>Ownership</t>
        </is>
      </c>
    </row>
    <row r="24" ht="15" customHeight="1" s="43">
      <c r="B24" s="53" t="inlineStr">
        <is>
          <t>Owner</t>
        </is>
      </c>
      <c r="C24" s="53" t="inlineStr">
        <is>
          <t>Risks Owned</t>
        </is>
      </c>
      <c r="D24" s="53" t="inlineStr">
        <is>
          <t>Critical Owned</t>
        </is>
      </c>
    </row>
    <row r="25" ht="15" customHeight="1" s="43">
      <c r="B25" s="55" t="inlineStr">
        <is>
          <t>VP of Healthcare AI</t>
        </is>
      </c>
      <c r="C25" s="56">
        <f>COUNTIF('Risk Register'!E2:E7,"VP of Healthcare AI")</f>
        <v/>
      </c>
      <c r="D25" s="56">
        <f>COUNTIFS('Risk Register'!E2:E7,"VP of Healthcare AI",'Risk Register'!O2:O7,"Critical")</f>
        <v/>
      </c>
    </row>
    <row r="26" ht="15" customHeight="1" s="43">
      <c r="B26" s="55" t="inlineStr">
        <is>
          <t>AI Governance Lead</t>
        </is>
      </c>
      <c r="C26" s="56">
        <f>COUNTIF('Risk Register'!E2:E7,"AI Governance Lead")</f>
        <v/>
      </c>
      <c r="D26" s="56">
        <f>COUNTIFS('Risk Register'!E2:E7,"AI Governance Lead",'Risk Register'!O2:O7,"Critical")</f>
        <v/>
      </c>
    </row>
    <row r="27" ht="15" customHeight="1" s="43">
      <c r="B27" s="55" t="inlineStr">
        <is>
          <t>Director of MLOps</t>
        </is>
      </c>
      <c r="C27" s="56">
        <f>COUNTIF('Risk Register'!E2:E7,"Director of MLOps")</f>
        <v/>
      </c>
      <c r="D27" s="56">
        <f>COUNTIFS('Risk Register'!E2:E7,"Director of MLOps",'Risk Register'!O2:O7,"Critical")</f>
        <v/>
      </c>
    </row>
    <row r="28">
      <c r="B28" s="55" t="inlineStr">
        <is>
          <t>Chief Data Officer</t>
        </is>
      </c>
      <c r="C28" s="56">
        <f>COUNTIF('Risk Register'!E2:E7,"Chief Data Officer")</f>
        <v/>
      </c>
      <c r="D28" s="56">
        <f>COUNTIFS('Risk Register'!E2:E7,"Chief Data Officer",'Risk Register'!O2:O7,"Critical")</f>
        <v/>
      </c>
    </row>
  </sheetData>
  <sheetProtection selectLockedCells="0" selectUnlockedCells="0" sheet="1" objects="0" insertRows="0" insertHyperlinks="0" autoFilter="1" scenarios="0" formatColumns="0" deleteColumns="0" insertColumns="0" pivotTables="0" deleteRows="0" formatCells="0" formatRows="0" sort="1" password="96F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D25"/>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0" zeroHeight="0" outlineLevelRow="0"/>
  <cols>
    <col width="3" customWidth="1" style="42" min="1" max="1"/>
    <col width="16" customWidth="1" style="42" min="2" max="2"/>
    <col width="26" customWidth="1" style="42" min="3" max="3"/>
    <col width="65" customWidth="1" style="42" min="4" max="4"/>
  </cols>
  <sheetData>
    <row r="1" ht="30" customHeight="1" s="43">
      <c r="A1" s="44" t="inlineStr">
        <is>
          <t>Tejaswini Dondeti — Portfolio Sample  •  tejaswinidondeti.github.io  •  Read-only preview — please do not edit or redistribute</t>
        </is>
      </c>
    </row>
    <row r="2" ht="17.35" customHeight="1" s="43"/>
    <row r="3" ht="15" customHeight="1" s="43">
      <c r="B3" s="50" t="inlineStr">
        <is>
          <t>Likelihood Scale</t>
        </is>
      </c>
    </row>
    <row r="4" ht="15" customHeight="1" s="43">
      <c r="B4" s="53" t="inlineStr">
        <is>
          <t>Score</t>
        </is>
      </c>
      <c r="C4" s="53" t="inlineStr">
        <is>
          <t>Label</t>
        </is>
      </c>
      <c r="D4" s="53" t="inlineStr">
        <is>
          <t>Description</t>
        </is>
      </c>
    </row>
    <row r="5" ht="15" customHeight="1" s="43">
      <c r="B5" s="56" t="n">
        <v>1</v>
      </c>
      <c r="C5" s="55" t="inlineStr">
        <is>
          <t>Rare</t>
        </is>
      </c>
      <c r="D5" s="55" t="inlineStr">
        <is>
          <t>Could occur only in exceptional circumstances; no known industry occurrences.</t>
        </is>
      </c>
    </row>
    <row r="6" ht="15" customHeight="1" s="43">
      <c r="B6" s="56" t="n">
        <v>2</v>
      </c>
      <c r="C6" s="55" t="inlineStr">
        <is>
          <t>Unlikely</t>
        </is>
      </c>
      <c r="D6" s="55" t="inlineStr">
        <is>
          <t>Not expected; occurs less than once per year in comparable organisations.</t>
        </is>
      </c>
    </row>
    <row r="7" ht="15" customHeight="1" s="43">
      <c r="B7" s="56" t="n">
        <v>3</v>
      </c>
      <c r="C7" s="55" t="inlineStr">
        <is>
          <t>Possible</t>
        </is>
      </c>
      <c r="D7" s="55" t="inlineStr">
        <is>
          <t>Might occur at some time; has occurred in comparable organisations.</t>
        </is>
      </c>
    </row>
    <row r="8" ht="15" customHeight="1" s="43">
      <c r="B8" s="56" t="n">
        <v>4</v>
      </c>
      <c r="C8" s="55" t="inlineStr">
        <is>
          <t>Likely</t>
        </is>
      </c>
      <c r="D8" s="55" t="inlineStr">
        <is>
          <t>Will probably occur in most circumstances within 12 months.</t>
        </is>
      </c>
    </row>
    <row r="9">
      <c r="B9" s="56" t="n">
        <v>5</v>
      </c>
      <c r="C9" s="55" t="inlineStr">
        <is>
          <t>Almost Certain</t>
        </is>
      </c>
      <c r="D9" s="55" t="inlineStr">
        <is>
          <t>Expected to occur; already materialising.</t>
        </is>
      </c>
    </row>
    <row r="10" ht="17.35" customHeight="1" s="43"/>
    <row r="11" ht="15" customHeight="1" s="43">
      <c r="B11" s="50" t="inlineStr">
        <is>
          <t>Impact Scale</t>
        </is>
      </c>
    </row>
    <row r="12" ht="15" customHeight="1" s="43">
      <c r="B12" s="53" t="inlineStr">
        <is>
          <t>Score</t>
        </is>
      </c>
      <c r="C12" s="53" t="inlineStr">
        <is>
          <t>Label</t>
        </is>
      </c>
      <c r="D12" s="53" t="inlineStr">
        <is>
          <t>Description</t>
        </is>
      </c>
    </row>
    <row r="13" ht="15" customHeight="1" s="43">
      <c r="B13" s="56" t="n">
        <v>1</v>
      </c>
      <c r="C13" s="55" t="inlineStr">
        <is>
          <t>Negligible</t>
        </is>
      </c>
      <c r="D13" s="55" t="inlineStr">
        <is>
          <t>Minor, easily absorbed; no patient, customer, or regulator impact.</t>
        </is>
      </c>
    </row>
    <row r="14" ht="15" customHeight="1" s="43">
      <c r="B14" s="56" t="n">
        <v>2</v>
      </c>
      <c r="C14" s="55" t="inlineStr">
        <is>
          <t>Minor</t>
        </is>
      </c>
      <c r="D14" s="55" t="inlineStr">
        <is>
          <t>Localised issue; minimal customer impact; internal-only.</t>
        </is>
      </c>
    </row>
    <row r="15" ht="15" customHeight="1" s="43">
      <c r="B15" s="56" t="n">
        <v>3</v>
      </c>
      <c r="C15" s="55" t="inlineStr">
        <is>
          <t>Moderate</t>
        </is>
      </c>
      <c r="D15" s="55" t="inlineStr">
        <is>
          <t>Customer impact; regulatory attention possible; &lt;$1M financial impact.</t>
        </is>
      </c>
    </row>
    <row r="16" ht="23.85" customHeight="1" s="43">
      <c r="B16" s="56" t="n">
        <v>4</v>
      </c>
      <c r="C16" s="55" t="inlineStr">
        <is>
          <t>Major</t>
        </is>
      </c>
      <c r="D16" s="55" t="inlineStr">
        <is>
          <t>Significant regulatory or customer impact; $1M–$10M; brand damage.</t>
        </is>
      </c>
    </row>
    <row r="17">
      <c r="B17" s="56" t="n">
        <v>5</v>
      </c>
      <c r="C17" s="55" t="inlineStr">
        <is>
          <t>Severe</t>
        </is>
      </c>
      <c r="D17" s="55" t="inlineStr">
        <is>
          <t>Patient safety or existential impact; &gt;$10M; loss of market access; major regulatory penalty.</t>
        </is>
      </c>
    </row>
    <row r="18"/>
    <row r="19" ht="17.35" customHeight="1" s="43"/>
    <row r="20" ht="15" customHeight="1" s="43">
      <c r="B20" s="50" t="inlineStr">
        <is>
          <t>Treatment Types</t>
        </is>
      </c>
    </row>
    <row r="21" ht="23.85" customHeight="1" s="43">
      <c r="B21" s="53" t="inlineStr">
        <is>
          <t>Type</t>
        </is>
      </c>
      <c r="C21" s="53" t="inlineStr">
        <is>
          <t>When to use</t>
        </is>
      </c>
      <c r="D21" s="53" t="inlineStr">
        <is>
          <t>Description</t>
        </is>
      </c>
    </row>
    <row r="22" ht="23.85" customHeight="1" s="43">
      <c r="B22" s="74" t="inlineStr">
        <is>
          <t>Mitigate</t>
        </is>
      </c>
      <c r="C22" s="55" t="inlineStr">
        <is>
          <t>Risk is intolerable and controls can reduce L or I</t>
        </is>
      </c>
      <c r="D22" s="55" t="inlineStr">
        <is>
          <t>Apply controls to reduce likelihood or impact to within appetite.</t>
        </is>
      </c>
    </row>
    <row r="23" ht="23.85" customHeight="1" s="43">
      <c r="B23" s="74" t="inlineStr">
        <is>
          <t>Transfer</t>
        </is>
      </c>
      <c r="C23" s="55" t="inlineStr">
        <is>
          <t>Third party is better positioned to bear the risk</t>
        </is>
      </c>
      <c r="D23" s="55" t="inlineStr">
        <is>
          <t>Insurance, contractual risk allocation, supplier indemnity.</t>
        </is>
      </c>
    </row>
    <row r="24" ht="15" customHeight="1" s="43">
      <c r="B24" s="74" t="inlineStr">
        <is>
          <t>Avoid</t>
        </is>
      </c>
      <c r="C24" s="55" t="inlineStr">
        <is>
          <t>Activity cannot be made acceptable</t>
        </is>
      </c>
      <c r="D24" s="55" t="inlineStr">
        <is>
          <t>Stop the activity; do not enter the market; de-scope the feature.</t>
        </is>
      </c>
    </row>
    <row r="25">
      <c r="B25" s="74" t="inlineStr">
        <is>
          <t>Accept</t>
        </is>
      </c>
      <c r="C25" s="55" t="inlineStr">
        <is>
          <t>Residual risk is within appetite</t>
        </is>
      </c>
      <c r="D25" s="55" t="inlineStr">
        <is>
          <t>Formally accept with documented rationale and re-review cadence.</t>
        </is>
      </c>
    </row>
  </sheetData>
  <sheetProtection selectLockedCells="0" selectUnlockedCells="0" sheet="1" objects="0" insertRows="0" insertHyperlinks="0" autoFilter="1" scenarios="0" formatColumns="0" deleteColumns="0" insertColumns="0" pivotTables="0" deleteRows="0" formatCells="0" formatRows="0" sort="1" password="96F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2026-04-22T17:41:58Z</dcterms:created>
  <dcterms:modified xmlns:dcterms="http://purl.org/dc/terms/" xmlns:xsi="http://www.w3.org/2001/XMLSchema-instance" xsi:type="dcterms:W3CDTF">2026-04-22T17:56:35Z</dcterms:modified>
  <cp:revision>0</cp:revision>
</cp:coreProperties>
</file>