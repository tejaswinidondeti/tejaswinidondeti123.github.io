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96FA" lockStructure="1" lockWindows="0"/>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SoA" sheetId="2" state="visible" r:id="rId2"/>
    <sheet xmlns:r="http://schemas.openxmlformats.org/officeDocument/2006/relationships" name="Summary" sheetId="3" state="visible" r:id="rId3"/>
    <sheet xmlns:r="http://schemas.openxmlformats.org/officeDocument/2006/relationships" name="Legend" sheetId="4" state="visible" r:id="rId4"/>
  </sheets>
  <definedNames>
    <definedName name="_xlnm._FilterDatabase" localSheetId="1" hidden="1">'SoA'!$A$1:$K$39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2E5C8A"/>
      <sz val="26"/>
    </font>
    <font>
      <name val="Arial"/>
      <charset val="1"/>
      <family val="0"/>
      <b val="1"/>
      <color rgb="FF1F3D5A"/>
      <sz val="18"/>
    </font>
    <font>
      <name val="Arial"/>
      <charset val="1"/>
      <family val="0"/>
      <i val="1"/>
      <color rgb="FF1F3D5A"/>
      <sz val="12"/>
    </font>
    <font>
      <name val="Arial"/>
      <charset val="1"/>
      <family val="0"/>
      <b val="1"/>
      <sz val="11"/>
    </font>
    <font>
      <name val="Arial"/>
      <charset val="1"/>
      <family val="0"/>
      <sz val="11"/>
    </font>
    <font>
      <name val="Arial"/>
      <charset val="1"/>
      <family val="0"/>
      <b val="1"/>
      <color rgb="FF2E5C8A"/>
      <sz val="14"/>
    </font>
    <font>
      <name val="Arial"/>
      <charset val="1"/>
      <family val="0"/>
      <i val="1"/>
      <color rgb="FF808080"/>
      <sz val="10"/>
    </font>
    <font>
      <name val="Arial"/>
      <charset val="1"/>
      <family val="0"/>
      <b val="1"/>
      <color rgb="FFFFFFFF"/>
      <sz val="11"/>
    </font>
    <font>
      <name val="Arial"/>
      <charset val="1"/>
      <family val="0"/>
      <b val="1"/>
      <sz val="10"/>
    </font>
    <font>
      <name val="Arial"/>
      <charset val="1"/>
      <family val="0"/>
      <sz val="10"/>
    </font>
    <font>
      <name val="Arial"/>
      <charset val="1"/>
      <family val="0"/>
      <b val="1"/>
      <color rgb="FF2E5C8A"/>
      <sz val="16"/>
    </font>
    <font>
      <name val="Calibri"/>
      <b val="1"/>
      <i val="1"/>
      <color rgb="00C2410C"/>
      <sz val="10"/>
    </font>
  </fonts>
  <fills count="9">
    <fill>
      <patternFill/>
    </fill>
    <fill>
      <patternFill patternType="gray125"/>
    </fill>
    <fill>
      <patternFill patternType="solid">
        <fgColor rgb="FF2E5C8A"/>
        <bgColor rgb="FF1F3D5A"/>
      </patternFill>
    </fill>
    <fill>
      <patternFill patternType="solid">
        <fgColor rgb="FFC6EFCE"/>
        <bgColor rgb="FFD9D9D9"/>
      </patternFill>
    </fill>
    <fill>
      <patternFill patternType="solid">
        <fgColor rgb="FFFFEB9C"/>
        <bgColor rgb="FFFFFFCC"/>
      </patternFill>
    </fill>
    <fill>
      <patternFill patternType="solid">
        <fgColor rgb="FFE7EEF7"/>
        <bgColor rgb="FFFFFFFF"/>
      </patternFill>
    </fill>
    <fill>
      <patternFill patternType="solid">
        <fgColor rgb="FFFFD966"/>
        <bgColor rgb="FFFFEB9C"/>
      </patternFill>
    </fill>
    <fill>
      <patternFill patternType="solid">
        <fgColor rgb="FFD9D9D9"/>
        <bgColor rgb="FFC6EFCE"/>
      </patternFill>
    </fill>
    <fill>
      <patternFill patternType="solid">
        <fgColor rgb="00FFF7ED"/>
        <bgColor rgb="00FFF7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8" fillId="0" borderId="0" applyAlignment="1" pivotButton="0" quotePrefix="0" xfId="0">
      <alignment horizontal="general" vertical="top" wrapText="1"/>
    </xf>
    <xf numFmtId="0" fontId="10" fillId="0" borderId="0" applyAlignment="1" pivotButton="0" quotePrefix="0" xfId="0">
      <alignment horizontal="general" vertical="bottom"/>
    </xf>
    <xf numFmtId="0" fontId="10" fillId="0" borderId="0" applyAlignment="1" pivotButton="0" quotePrefix="0" xfId="0">
      <alignment horizontal="general" vertical="top" wrapText="1"/>
    </xf>
    <xf numFmtId="0" fontId="11" fillId="2" borderId="1" applyAlignment="1" pivotButton="0" quotePrefix="0" xfId="0">
      <alignment horizontal="center" vertical="center" wrapText="1"/>
    </xf>
    <xf numFmtId="0" fontId="12" fillId="0" borderId="1" applyAlignment="1" pivotButton="0" quotePrefix="0" xfId="0">
      <alignment horizontal="center" vertical="top" wrapText="1"/>
    </xf>
    <xf numFmtId="0" fontId="13" fillId="0" borderId="1" applyAlignment="1" pivotButton="0" quotePrefix="0" xfId="0">
      <alignment horizontal="left" vertical="top" wrapText="1"/>
    </xf>
    <xf numFmtId="0" fontId="13" fillId="0" borderId="1" applyAlignment="1" pivotButton="0" quotePrefix="0" xfId="0">
      <alignment horizontal="center" vertical="top" wrapText="1"/>
    </xf>
    <xf numFmtId="0" fontId="12" fillId="3" borderId="1" applyAlignment="1" pivotButton="0" quotePrefix="0" xfId="0">
      <alignment horizontal="center" vertical="top" wrapText="1"/>
    </xf>
    <xf numFmtId="0" fontId="12" fillId="4" borderId="1" applyAlignment="1" pivotButton="0" quotePrefix="0" xfId="0">
      <alignment horizontal="center" vertical="top" wrapText="1"/>
    </xf>
    <xf numFmtId="0" fontId="14" fillId="0" borderId="0" applyAlignment="1" pivotButton="0" quotePrefix="0" xfId="0">
      <alignment horizontal="general" vertical="bottom"/>
    </xf>
    <xf numFmtId="164" fontId="13" fillId="0" borderId="1" applyAlignment="1" pivotButton="0" quotePrefix="0" xfId="0">
      <alignment horizontal="center" vertical="top" wrapText="1"/>
    </xf>
    <xf numFmtId="0" fontId="12" fillId="5" borderId="1" applyAlignment="1" pivotButton="0" quotePrefix="0" xfId="0">
      <alignment horizontal="left" vertical="top" wrapText="1"/>
    </xf>
    <xf numFmtId="0" fontId="12" fillId="5" borderId="1" applyAlignment="1" pivotButton="0" quotePrefix="0" xfId="0">
      <alignment horizontal="center" vertical="top" wrapText="1"/>
    </xf>
    <xf numFmtId="164" fontId="12" fillId="5" borderId="1" applyAlignment="1" pivotButton="0" quotePrefix="0" xfId="0">
      <alignment horizontal="center" vertical="top" wrapText="1"/>
    </xf>
    <xf numFmtId="0" fontId="12" fillId="3" borderId="1" applyAlignment="1" pivotButton="0" quotePrefix="0" xfId="0">
      <alignment horizontal="left" vertical="top" wrapText="1"/>
    </xf>
    <xf numFmtId="0" fontId="12" fillId="4" borderId="1" applyAlignment="1" pivotButton="0" quotePrefix="0" xfId="0">
      <alignment horizontal="left" vertical="top" wrapText="1"/>
    </xf>
    <xf numFmtId="0" fontId="12" fillId="6" borderId="1" applyAlignment="1" pivotButton="0" quotePrefix="0" xfId="0">
      <alignment horizontal="left" vertical="top" wrapText="1"/>
    </xf>
    <xf numFmtId="0" fontId="12" fillId="7" borderId="1" applyAlignment="1" pivotButton="0" quotePrefix="0" xfId="0">
      <alignment horizontal="left" vertical="top" wrapText="1"/>
    </xf>
    <xf numFmtId="0" fontId="11" fillId="2" borderId="1" applyAlignment="1" pivotButton="0" quotePrefix="0" xfId="0">
      <alignment horizontal="center" vertical="center"/>
    </xf>
    <xf numFmtId="0" fontId="12"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15" fillId="8" borderId="0" applyAlignment="1" pivotButton="0" quotePrefix="0" xfId="0">
      <alignment horizontal="center" vertical="center"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0" fillId="0" borderId="0" applyAlignment="1" pivotButton="0" quotePrefix="0" xfId="0">
      <alignment horizontal="general" vertical="top" wrapText="1"/>
    </xf>
    <xf numFmtId="0" fontId="11" fillId="2" borderId="1" applyAlignment="1" pivotButton="0" quotePrefix="0" xfId="0">
      <alignment horizontal="center" vertical="center" wrapText="1"/>
    </xf>
    <xf numFmtId="0" fontId="12" fillId="0" borderId="1" applyAlignment="1" pivotButton="0" quotePrefix="0" xfId="0">
      <alignment horizontal="center" vertical="top" wrapText="1"/>
    </xf>
    <xf numFmtId="0" fontId="13" fillId="0" borderId="1" applyAlignment="1" pivotButton="0" quotePrefix="0" xfId="0">
      <alignment horizontal="left" vertical="top" wrapText="1"/>
    </xf>
    <xf numFmtId="0" fontId="13" fillId="0" borderId="1" applyAlignment="1" pivotButton="0" quotePrefix="0" xfId="0">
      <alignment horizontal="center" vertical="top" wrapText="1"/>
    </xf>
    <xf numFmtId="0" fontId="12" fillId="3" borderId="1" applyAlignment="1" pivotButton="0" quotePrefix="0" xfId="0">
      <alignment horizontal="center" vertical="top" wrapText="1"/>
    </xf>
    <xf numFmtId="0" fontId="12" fillId="4" borderId="1" applyAlignment="1" pivotButton="0" quotePrefix="0" xfId="0">
      <alignment horizontal="center" vertical="top" wrapText="1"/>
    </xf>
    <xf numFmtId="0" fontId="14" fillId="0" borderId="0" applyAlignment="1" pivotButton="0" quotePrefix="0" xfId="0">
      <alignment horizontal="general" vertical="bottom"/>
    </xf>
    <xf numFmtId="164" fontId="13" fillId="0" borderId="1" applyAlignment="1" pivotButton="0" quotePrefix="0" xfId="0">
      <alignment horizontal="center" vertical="top" wrapText="1"/>
    </xf>
    <xf numFmtId="0" fontId="12" fillId="5" borderId="1" applyAlignment="1" pivotButton="0" quotePrefix="0" xfId="0">
      <alignment horizontal="left" vertical="top" wrapText="1"/>
    </xf>
    <xf numFmtId="0" fontId="12" fillId="5" borderId="1" applyAlignment="1" pivotButton="0" quotePrefix="0" xfId="0">
      <alignment horizontal="center" vertical="top" wrapText="1"/>
    </xf>
    <xf numFmtId="164" fontId="12" fillId="5" borderId="1" applyAlignment="1" pivotButton="0" quotePrefix="0" xfId="0">
      <alignment horizontal="center" vertical="top" wrapText="1"/>
    </xf>
    <xf numFmtId="0" fontId="12" fillId="3" borderId="1" applyAlignment="1" pivotButton="0" quotePrefix="0" xfId="0">
      <alignment horizontal="left" vertical="top" wrapText="1"/>
    </xf>
    <xf numFmtId="0" fontId="12" fillId="4" borderId="1" applyAlignment="1" pivotButton="0" quotePrefix="0" xfId="0">
      <alignment horizontal="left" vertical="top" wrapText="1"/>
    </xf>
    <xf numFmtId="0" fontId="12" fillId="6" borderId="1" applyAlignment="1" pivotButton="0" quotePrefix="0" xfId="0">
      <alignment horizontal="left" vertical="top" wrapText="1"/>
    </xf>
    <xf numFmtId="0" fontId="12" fillId="7" borderId="1" applyAlignment="1" pivotButton="0" quotePrefix="0" xfId="0">
      <alignment horizontal="left" vertical="top" wrapText="1"/>
    </xf>
    <xf numFmtId="0" fontId="11" fillId="2" borderId="1" applyAlignment="1" pivotButton="0" quotePrefix="0" xfId="0">
      <alignment horizontal="center" vertical="center"/>
    </xf>
    <xf numFmtId="0" fontId="12" fillId="0"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2E5C8A"/>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E7EE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D96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E5C8A"/>
      <rgbColor rgb="FF1F3D5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33"/>
  <sheetViews>
    <sheetView showFormulas="0" showGridLines="0" showRowColHeaders="1" showZeros="1" rightToLeft="0" tabSelected="1" showOutlineSymbols="1" defaultGridColor="1" view="normal" topLeftCell="A1" colorId="64" zoomScale="100" zoomScaleNormal="100" zoomScalePageLayoutView="100" workbookViewId="0">
      <pane ySplit="1" topLeftCell="A2" activePane="bottomLeft" state="frozen"/>
      <selection pane="bottomLeft" activeCell="A1" activeCellId="0" sqref="A1"/>
    </sheetView>
  </sheetViews>
  <sheetFormatPr baseColWidth="8" defaultColWidth="8.6796875" defaultRowHeight="15" customHeight="0" zeroHeight="0" outlineLevelRow="0"/>
  <cols>
    <col width="3" customWidth="1" style="27" min="1" max="1"/>
    <col width="35" customWidth="1" style="27" min="2" max="2"/>
    <col width="70" customWidth="1" style="27" min="3" max="3"/>
  </cols>
  <sheetData>
    <row r="1" ht="30" customHeight="1" s="28">
      <c r="A1" s="29" t="inlineStr">
        <is>
          <t>Tejaswini Dondeti — Portfolio Sample  •  tejaswinidondeti.github.io  •  Read-only preview — please do not edit or redistribute</t>
        </is>
      </c>
    </row>
    <row r="2" ht="31.5" customHeight="1" s="28"/>
    <row r="3" ht="22.05" customHeight="1" s="28">
      <c r="B3" s="30" t="inlineStr">
        <is>
          <t>MindfulAI Labs</t>
        </is>
      </c>
    </row>
    <row r="4" ht="15" customHeight="1" s="28">
      <c r="B4" s="31" t="inlineStr">
        <is>
          <t>ISO/IEC 42001:2023 Statement of Applicability</t>
        </is>
      </c>
    </row>
    <row r="5">
      <c r="B5" s="32" t="inlineStr">
        <is>
          <t>AI Management System (AIMS) — Annex A Control Set</t>
        </is>
      </c>
    </row>
    <row r="6" ht="15" customHeight="1" s="28"/>
    <row r="7" ht="15" customHeight="1" s="28">
      <c r="B7" s="33" t="inlineStr">
        <is>
          <t>Document ID:</t>
        </is>
      </c>
      <c r="C7" s="34" t="inlineStr">
        <is>
          <t>MA-AIMS-SOA-001</t>
        </is>
      </c>
    </row>
    <row r="8" ht="15" customHeight="1" s="28">
      <c r="B8" s="33" t="inlineStr">
        <is>
          <t>Version:</t>
        </is>
      </c>
      <c r="C8" s="34" t="inlineStr">
        <is>
          <t>1.0</t>
        </is>
      </c>
    </row>
    <row r="9" ht="15" customHeight="1" s="28">
      <c r="B9" s="33" t="inlineStr">
        <is>
          <t>Effective Date:</t>
        </is>
      </c>
      <c r="C9" s="34" t="inlineStr">
        <is>
          <t>March 2026</t>
        </is>
      </c>
    </row>
    <row r="10" ht="15" customHeight="1" s="28">
      <c r="B10" s="33" t="inlineStr">
        <is>
          <t>Document Owner:</t>
        </is>
      </c>
      <c r="C10" s="34" t="inlineStr">
        <is>
          <t>AI Governance Lead</t>
        </is>
      </c>
    </row>
    <row r="11" ht="15" customHeight="1" s="28">
      <c r="B11" s="33" t="inlineStr">
        <is>
          <t>Approver:</t>
        </is>
      </c>
      <c r="C11" s="34" t="inlineStr">
        <is>
          <t>Chief Executive Officer</t>
        </is>
      </c>
    </row>
    <row r="12" ht="15" customHeight="1" s="28">
      <c r="B12" s="33" t="inlineStr">
        <is>
          <t>Review Cycle:</t>
        </is>
      </c>
      <c r="C12" s="34" t="inlineStr">
        <is>
          <t>Annual, plus on material change</t>
        </is>
      </c>
    </row>
    <row r="13" ht="15" customHeight="1" s="28">
      <c r="B13" s="33" t="inlineStr">
        <is>
          <t>Classification:</t>
        </is>
      </c>
      <c r="C13" s="34" t="inlineStr">
        <is>
          <t>CONFIDENTIAL</t>
        </is>
      </c>
    </row>
    <row r="14" ht="15" customHeight="1" s="28">
      <c r="B14" s="33" t="inlineStr">
        <is>
          <t>Standard:</t>
        </is>
      </c>
      <c r="C14" s="34" t="inlineStr">
        <is>
          <t>ISO/IEC 42001:2023 — AI Management System (Annex A)</t>
        </is>
      </c>
    </row>
    <row r="15">
      <c r="B15" s="33" t="inlineStr">
        <is>
          <t>Related Frameworks:</t>
        </is>
      </c>
      <c r="C15" s="34" t="inlineStr">
        <is>
          <t>NIST AI RMF 1.0; EU AI Act (Reg. 2024/1689); GDPR; PIPEDA; EU MDR</t>
        </is>
      </c>
    </row>
    <row r="16" ht="17.35" customHeight="1" s="28"/>
    <row r="17" ht="75" customHeight="1" s="28">
      <c r="B17" s="35" t="inlineStr">
        <is>
          <t>Purpose</t>
        </is>
      </c>
    </row>
    <row r="18" ht="15" customHeight="1" s="28">
      <c r="B18" s="34" t="inlineStr">
        <is>
          <t>This Statement of Applicability (SoA) records — for each control in Annex A of ISO/IEC 42001:2023 — whether the control is applicable to MindfulAI's AI Management System, the justification for applicability or exclusion, the implementation status, the control owner, and supporting evidence. It is the central auditable record linking Annex A controls to MindfulAI's policies and risk register.</t>
        </is>
      </c>
    </row>
    <row r="19" ht="15" customHeight="1" s="28"/>
    <row r="20" ht="15" customHeight="1" s="28"/>
    <row r="21" ht="15" customHeight="1" s="28"/>
    <row r="22"/>
    <row r="23" ht="17.35" customHeight="1" s="28"/>
    <row r="24" ht="75" customHeight="1" s="28">
      <c r="B24" s="35" t="inlineStr">
        <is>
          <t>How to read this workbook</t>
        </is>
      </c>
    </row>
    <row r="25" ht="15" customHeight="1" s="28">
      <c r="B25" s="34" t="inlineStr">
        <is>
          <t>1. Cover — this sheet
2. SoA — the full Annex A control list with applicability, justification, status, owner, and evidence
3. Summary — counts and percentages by category and status
4. Legend — definitions of status values and conventions</t>
        </is>
      </c>
    </row>
    <row r="26" ht="15" customHeight="1" s="28"/>
    <row r="27" ht="15" customHeight="1" s="28"/>
    <row r="28" ht="15" customHeight="1" s="28"/>
    <row r="29"/>
    <row r="30" ht="15" customHeight="1" s="28"/>
    <row r="31" ht="15" customHeight="1" s="28">
      <c r="B31" s="36" t="inlineStr">
        <is>
          <t>Note: Self-directed project artifact</t>
        </is>
      </c>
    </row>
    <row r="32" ht="15" customHeight="1" s="28">
      <c r="B32" s="37" t="inlineStr">
        <is>
          <t>This document is part of a self-directed AI governance project and is not an operational document of any real organisation.</t>
        </is>
      </c>
    </row>
    <row r="33"/>
  </sheetData>
  <sheetProtection selectLockedCells="0" selectUnlockedCells="0" sheet="1" objects="0" insertRows="0" insertHyperlinks="0" autoFilter="1" scenarios="0" formatColumns="0" deleteColumns="0" insertColumns="0" pivotTables="0" deleteRows="0" formatCells="0" formatRows="0" sort="1" password="96FA"/>
  <mergeCells count="4">
    <mergeCell ref="A1:C1"/>
    <mergeCell ref="B31:C32"/>
    <mergeCell ref="B17:C21"/>
    <mergeCell ref="B24:C2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&amp;C&amp;10 &amp;KC2410C&amp;B&amp;"Calibri"&amp;10&amp;K592816Tejaswini Dondeti — Portfolio Sample</oddHeader>
    <oddFooter/>
    <evenHeader>&amp;C&amp;10 &amp;KC2410C&amp;B&amp;"Calibri"&amp;10&amp;K592816Tejaswini Dondeti — Portfolio Sample</evenHeader>
    <evenFooter/>
    <firstHeader/>
    <firstFooter/>
  </headerFooter>
</worksheet>
</file>

<file path=xl/worksheets/sheet2.xml><?xml version="1.0" encoding="utf-8"?>
<worksheet xmlns="http://schemas.openxmlformats.org/spreadsheetml/2006/main">
  <sheetPr filterMode="0">
    <outlinePr summaryBelow="1" summaryRight="1"/>
    <pageSetUpPr fitToPage="0"/>
  </sheetPr>
  <dimension ref="A1:K40"/>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customHeight="0" zeroHeight="0" outlineLevelRow="0"/>
  <cols>
    <col width="11" customWidth="1" style="27" min="1" max="1"/>
    <col width="32" customWidth="1" style="27" min="2" max="3"/>
    <col width="55" customWidth="1" style="27" min="4" max="4"/>
    <col width="11" customWidth="1" style="27" min="5" max="5"/>
    <col width="55" customWidth="1" style="27" min="6" max="6"/>
    <col width="15" customWidth="1" style="27" min="7" max="7"/>
    <col width="26" customWidth="1" style="27" min="8" max="8"/>
    <col width="50" customWidth="1" style="27" min="9" max="9"/>
    <col width="20" customWidth="1" style="27" min="10" max="10"/>
    <col width="16" customWidth="1" style="27" min="11" max="11"/>
  </cols>
  <sheetData>
    <row r="1" ht="30" customHeight="1" s="28">
      <c r="A1" s="29" t="inlineStr">
        <is>
          <t>Tejaswini Dondeti — Portfolio Sample  •  tejaswinidondeti.github.io  •  Read-only preview — please do not edit or redistribute</t>
        </is>
      </c>
    </row>
    <row r="2" ht="90" customHeight="1" s="28">
      <c r="A2" s="38" t="inlineStr">
        <is>
          <t>Control ID</t>
        </is>
      </c>
      <c r="B2" s="38" t="inlineStr">
        <is>
          <t>Category</t>
        </is>
      </c>
      <c r="C2" s="38" t="inlineStr">
        <is>
          <t>Control Name</t>
        </is>
      </c>
      <c r="D2" s="38" t="inlineStr">
        <is>
          <t>Control Objective</t>
        </is>
      </c>
      <c r="E2" s="38" t="inlineStr">
        <is>
          <t>Applicable (Y/N)</t>
        </is>
      </c>
      <c r="F2" s="38" t="inlineStr">
        <is>
          <t>Justification</t>
        </is>
      </c>
      <c r="G2" s="38" t="inlineStr">
        <is>
          <t>Implementation Status</t>
        </is>
      </c>
      <c r="H2" s="38" t="inlineStr">
        <is>
          <t>Owner</t>
        </is>
      </c>
      <c r="I2" s="38" t="inlineStr">
        <is>
          <t>Evidence / Reference</t>
        </is>
      </c>
      <c r="J2" s="38" t="inlineStr">
        <is>
          <t>Linked Policy</t>
        </is>
      </c>
      <c r="K2" s="38" t="inlineStr">
        <is>
          <t>Linked Risk</t>
        </is>
      </c>
    </row>
    <row r="3" ht="90" customHeight="1" s="28">
      <c r="A3" s="39" t="inlineStr">
        <is>
          <t>A.2.2</t>
        </is>
      </c>
      <c r="B3" s="40" t="inlineStr">
        <is>
          <t>A.2 Policies related to AI</t>
        </is>
      </c>
      <c r="C3" s="40" t="inlineStr">
        <is>
          <t>AI policy</t>
        </is>
      </c>
      <c r="D3" s="40" t="inlineStr">
        <is>
          <t>A policy for the development or use of AI systems shall be established and approved by top management.</t>
        </is>
      </c>
      <c r="E3" s="41" t="inlineStr">
        <is>
          <t>Yes</t>
        </is>
      </c>
      <c r="F3" s="40" t="inlineStr">
        <is>
          <t>MindfulAI develops and deploys production AI for healthcare and finance. An enterprise AI policy approved by the CEO is foundational to the AIMS and required by ISO 42001 Clause 5.2.</t>
        </is>
      </c>
      <c r="G3" s="42" t="inlineStr">
        <is>
          <t>Implemented</t>
        </is>
      </c>
      <c r="H3" s="40" t="inlineStr">
        <is>
          <t>AI Governance Lead</t>
        </is>
      </c>
      <c r="I3" s="40" t="inlineStr">
        <is>
          <t>Responsible AI Policy (MA-AIMS-POL-001) approved by CEO; published in policy library.</t>
        </is>
      </c>
      <c r="J3" s="40" t="inlineStr">
        <is>
          <t>MA-AIMS-POL-001</t>
        </is>
      </c>
      <c r="K3" s="40" t="inlineStr">
        <is>
          <t>R-01, R-02, R-05, R-06</t>
        </is>
      </c>
    </row>
    <row r="4" ht="90" customHeight="1" s="28">
      <c r="A4" s="39" t="inlineStr">
        <is>
          <t>A.2.3</t>
        </is>
      </c>
      <c r="B4" s="40" t="inlineStr">
        <is>
          <t>A.2 Policies related to AI</t>
        </is>
      </c>
      <c r="C4" s="40" t="inlineStr">
        <is>
          <t>Alignment of AI policy with other organizational policies</t>
        </is>
      </c>
      <c r="D4" s="40" t="inlineStr">
        <is>
          <t>The AI policy shall be aligned with other relevant organizational policies.</t>
        </is>
      </c>
      <c r="E4" s="41" t="inlineStr">
        <is>
          <t>Yes</t>
        </is>
      </c>
      <c r="F4" s="40" t="inlineStr">
        <is>
          <t>AI policy must coexist with existing Information Security, Privacy, and Risk policies.</t>
        </is>
      </c>
      <c r="G4" s="42" t="inlineStr">
        <is>
          <t>Implemented</t>
        </is>
      </c>
      <c r="H4" s="40" t="inlineStr">
        <is>
          <t>AI Governance Lead</t>
        </is>
      </c>
      <c r="I4" s="40" t="inlineStr">
        <is>
          <t>Cross-reference matrix in MA-AIMS-POL-001 §10; quarterly policy alignment review.</t>
        </is>
      </c>
      <c r="J4" s="40" t="inlineStr">
        <is>
          <t>MA-AIMS-POL-001</t>
        </is>
      </c>
      <c r="K4" s="40" t="inlineStr">
        <is>
          <t>R-04</t>
        </is>
      </c>
    </row>
    <row r="5" ht="90" customHeight="1" s="28">
      <c r="A5" s="39" t="inlineStr">
        <is>
          <t>A.2.4</t>
        </is>
      </c>
      <c r="B5" s="40" t="inlineStr">
        <is>
          <t>A.2 Policies related to AI</t>
        </is>
      </c>
      <c r="C5" s="40" t="inlineStr">
        <is>
          <t>Review of AI policy</t>
        </is>
      </c>
      <c r="D5" s="40" t="inlineStr">
        <is>
          <t>The AI policy shall be reviewed at planned intervals or when significant changes occur.</t>
        </is>
      </c>
      <c r="E5" s="41" t="inlineStr">
        <is>
          <t>Yes</t>
        </is>
      </c>
      <c r="F5" s="40" t="inlineStr">
        <is>
          <t>Required under ISO 42001 and for EU AI Act conformity; AI regulations are evolving rapidly.</t>
        </is>
      </c>
      <c r="G5" s="42" t="inlineStr">
        <is>
          <t>Implemented</t>
        </is>
      </c>
      <c r="H5" s="40" t="inlineStr">
        <is>
          <t>AI Governance Lead</t>
        </is>
      </c>
      <c r="I5" s="40" t="inlineStr">
        <is>
          <t>Annual review cycle in policy metadata; ad-hoc trigger on regulatory change.</t>
        </is>
      </c>
      <c r="J5" s="40" t="inlineStr">
        <is>
          <t>MA-AIMS-POL-001</t>
        </is>
      </c>
      <c r="K5" s="40" t="inlineStr">
        <is>
          <t>R-02</t>
        </is>
      </c>
    </row>
    <row r="6" ht="90" customHeight="1" s="28">
      <c r="A6" s="39" t="inlineStr">
        <is>
          <t>A.3.2</t>
        </is>
      </c>
      <c r="B6" s="40" t="inlineStr">
        <is>
          <t>A.3 Internal organization</t>
        </is>
      </c>
      <c r="C6" s="40" t="inlineStr">
        <is>
          <t>AI roles and responsibilities</t>
        </is>
      </c>
      <c r="D6" s="40" t="inlineStr">
        <is>
          <t>Roles and responsibilities for AI shall be defined and allocated.</t>
        </is>
      </c>
      <c r="E6" s="41" t="inlineStr">
        <is>
          <t>Yes</t>
        </is>
      </c>
      <c r="F6" s="40" t="inlineStr">
        <is>
          <t>Required to operationalize accountability across the AI lifecycle; mirrored by EU AI Act Art. 26 (deployer obligations) and Art. 22 (authorised representative).</t>
        </is>
      </c>
      <c r="G6" s="42" t="inlineStr">
        <is>
          <t>Implemented</t>
        </is>
      </c>
      <c r="H6" s="40" t="inlineStr">
        <is>
          <t>Chief People Officer</t>
        </is>
      </c>
      <c r="I6" s="40" t="inlineStr">
        <is>
          <t>RACI in MA-AIMS-POL-001 §4; AI Ethics Committee Charter; job descriptions updated.</t>
        </is>
      </c>
      <c r="J6" s="40" t="inlineStr">
        <is>
          <t>MA-AIMS-POL-001</t>
        </is>
      </c>
      <c r="K6" s="40" t="inlineStr">
        <is>
          <t>R-06</t>
        </is>
      </c>
    </row>
    <row r="7" ht="90" customHeight="1" s="28">
      <c r="A7" s="39" t="inlineStr">
        <is>
          <t>A.3.3</t>
        </is>
      </c>
      <c r="B7" s="40" t="inlineStr">
        <is>
          <t>A.3 Internal organization</t>
        </is>
      </c>
      <c r="C7" s="40" t="inlineStr">
        <is>
          <t>Reporting of concerns</t>
        </is>
      </c>
      <c r="D7" s="40" t="inlineStr">
        <is>
          <t>The organization shall define and put in place a process to report concerns about the role of AI systems.</t>
        </is>
      </c>
      <c r="E7" s="41" t="inlineStr">
        <is>
          <t>Yes</t>
        </is>
      </c>
      <c r="F7" s="40" t="inlineStr">
        <is>
          <t>Staff, clinicians, and affected individuals must have a confidential escalation route; also required under EU AI Act Art. 14 and AIDA.</t>
        </is>
      </c>
      <c r="G7" s="42" t="inlineStr">
        <is>
          <t>Implemented</t>
        </is>
      </c>
      <c r="H7" s="40" t="inlineStr">
        <is>
          <t>AI Governance Lead</t>
        </is>
      </c>
      <c r="I7" s="40" t="inlineStr">
        <is>
          <t>Whistleblower channel; dedicated ai-concerns@ mailbox; policy §6 of MA-AIMS-POL-004.</t>
        </is>
      </c>
      <c r="J7" s="40" t="inlineStr">
        <is>
          <t>MA-AIMS-POL-004</t>
        </is>
      </c>
      <c r="K7" s="40" t="inlineStr">
        <is>
          <t>R-01, R-06</t>
        </is>
      </c>
    </row>
    <row r="8" ht="90" customHeight="1" s="28">
      <c r="A8" s="39" t="inlineStr">
        <is>
          <t>A.4.2</t>
        </is>
      </c>
      <c r="B8" s="40" t="inlineStr">
        <is>
          <t>A.4 Resources for AI systems</t>
        </is>
      </c>
      <c r="C8" s="40" t="inlineStr">
        <is>
          <t>Resource documentation</t>
        </is>
      </c>
      <c r="D8" s="40" t="inlineStr">
        <is>
          <t>The organization shall identify and document the resources required for AI system activities.</t>
        </is>
      </c>
      <c r="E8" s="41" t="inlineStr">
        <is>
          <t>Yes</t>
        </is>
      </c>
      <c r="F8" s="40" t="inlineStr">
        <is>
          <t>Healthcare and financial AI systems require significant compute, data, and specialist human resources.</t>
        </is>
      </c>
      <c r="G8" s="42" t="inlineStr">
        <is>
          <t>Implemented</t>
        </is>
      </c>
      <c r="H8" s="40" t="inlineStr">
        <is>
          <t>Director of MLOps</t>
        </is>
      </c>
      <c r="I8" s="40" t="inlineStr">
        <is>
          <t>AI System Inventory; MLOps platform resource register; annual capacity plan.</t>
        </is>
      </c>
      <c r="J8" s="40" t="inlineStr">
        <is>
          <t>MA-AIMS-POL-001</t>
        </is>
      </c>
      <c r="K8" s="40" t="inlineStr">
        <is>
          <t>R-03</t>
        </is>
      </c>
    </row>
    <row r="9" ht="90" customHeight="1" s="28">
      <c r="A9" s="39" t="inlineStr">
        <is>
          <t>A.4.3</t>
        </is>
      </c>
      <c r="B9" s="40" t="inlineStr">
        <is>
          <t>A.4 Resources for AI systems</t>
        </is>
      </c>
      <c r="C9" s="40" t="inlineStr">
        <is>
          <t>Data resources</t>
        </is>
      </c>
      <c r="D9" s="40" t="inlineStr">
        <is>
          <t>Data resources used for AI systems shall be documented.</t>
        </is>
      </c>
      <c r="E9" s="41" t="inlineStr">
        <is>
          <t>Yes</t>
        </is>
      </c>
      <c r="F9" s="40" t="inlineStr">
        <is>
          <t>Training and evaluation data quality directly affect bias, accuracy, and regulatory compliance.</t>
        </is>
      </c>
      <c r="G9" s="42" t="inlineStr">
        <is>
          <t>Implemented</t>
        </is>
      </c>
      <c r="H9" s="40" t="inlineStr">
        <is>
          <t>Chief Data Officer</t>
        </is>
      </c>
      <c r="I9" s="40" t="inlineStr">
        <is>
          <t>Data catalogue in AI Training Data Platform; dataset fact sheets; lineage traced end-to-end.</t>
        </is>
      </c>
      <c r="J9" s="40" t="inlineStr">
        <is>
          <t>MA-AIMS-POL-003</t>
        </is>
      </c>
      <c r="K9" s="40" t="inlineStr">
        <is>
          <t>R-01, R-04</t>
        </is>
      </c>
    </row>
    <row r="10" ht="90" customHeight="1" s="28">
      <c r="A10" s="39" t="inlineStr">
        <is>
          <t>A.4.4</t>
        </is>
      </c>
      <c r="B10" s="40" t="inlineStr">
        <is>
          <t>A.4 Resources for AI systems</t>
        </is>
      </c>
      <c r="C10" s="40" t="inlineStr">
        <is>
          <t>Tooling resources</t>
        </is>
      </c>
      <c r="D10" s="40" t="inlineStr">
        <is>
          <t>Tooling for AI system development, testing, and operation shall be documented.</t>
        </is>
      </c>
      <c r="E10" s="41" t="inlineStr">
        <is>
          <t>Yes</t>
        </is>
      </c>
      <c r="F10" s="40" t="inlineStr">
        <is>
          <t>ML frameworks, MLOps platform, and monitoring tools are in scope.</t>
        </is>
      </c>
      <c r="G10" s="42" t="inlineStr">
        <is>
          <t>Implemented</t>
        </is>
      </c>
      <c r="H10" s="40" t="inlineStr">
        <is>
          <t>Director of MLOps</t>
        </is>
      </c>
      <c r="I10" s="40" t="inlineStr">
        <is>
          <t>Tooling register in MLOps Platform; approved tool list reviewed quarterly.</t>
        </is>
      </c>
      <c r="J10" s="40" t="inlineStr">
        <is>
          <t>MA-AIMS-POL-001</t>
        </is>
      </c>
      <c r="K10" s="40" t="inlineStr">
        <is>
          <t>R-03, R-05</t>
        </is>
      </c>
    </row>
    <row r="11" ht="90" customHeight="1" s="28">
      <c r="A11" s="39" t="inlineStr">
        <is>
          <t>A.4.5</t>
        </is>
      </c>
      <c r="B11" s="40" t="inlineStr">
        <is>
          <t>A.4 Resources for AI systems</t>
        </is>
      </c>
      <c r="C11" s="40" t="inlineStr">
        <is>
          <t>System and computing resources</t>
        </is>
      </c>
      <c r="D11" s="40" t="inlineStr">
        <is>
          <t>System and computing resources shall be documented.</t>
        </is>
      </c>
      <c r="E11" s="41" t="inlineStr">
        <is>
          <t>Yes</t>
        </is>
      </c>
      <c r="F11" s="40" t="inlineStr">
        <is>
          <t>AWS-hosted compute, storage, and specialised accelerators used for model training and inference.</t>
        </is>
      </c>
      <c r="G11" s="42" t="inlineStr">
        <is>
          <t>Implemented</t>
        </is>
      </c>
      <c r="H11" s="40" t="inlineStr">
        <is>
          <t>Director of MLOps</t>
        </is>
      </c>
      <c r="I11" s="40" t="inlineStr">
        <is>
          <t>AWS account inventory; compute budget tracked monthly; training-job registry.</t>
        </is>
      </c>
      <c r="J11" s="40" t="inlineStr">
        <is>
          <t>MA-AIMS-POL-001</t>
        </is>
      </c>
      <c r="K11" s="40" t="inlineStr">
        <is>
          <t>R-03</t>
        </is>
      </c>
    </row>
    <row r="12" ht="90" customHeight="1" s="28">
      <c r="A12" s="39" t="inlineStr">
        <is>
          <t>A.4.6</t>
        </is>
      </c>
      <c r="B12" s="40" t="inlineStr">
        <is>
          <t>A.4 Resources for AI systems</t>
        </is>
      </c>
      <c r="C12" s="40" t="inlineStr">
        <is>
          <t>Human resources</t>
        </is>
      </c>
      <c r="D12" s="40" t="inlineStr">
        <is>
          <t>Human resources required for AI system activities shall be documented.</t>
        </is>
      </c>
      <c r="E12" s="41" t="inlineStr">
        <is>
          <t>Yes</t>
        </is>
      </c>
      <c r="F12" s="40" t="inlineStr">
        <is>
          <t>Requires specialist ML engineers, data scientists, clinical advisors, fairness auditors.</t>
        </is>
      </c>
      <c r="G12" s="42" t="inlineStr">
        <is>
          <t>Implemented</t>
        </is>
      </c>
      <c r="H12" s="40" t="inlineStr">
        <is>
          <t>Chief People Officer</t>
        </is>
      </c>
      <c r="I12" s="40" t="inlineStr">
        <is>
          <t>Skills matrix; annual training plan; external clinical advisory board.</t>
        </is>
      </c>
      <c r="J12" s="40" t="inlineStr">
        <is>
          <t>MA-AIMS-POL-001</t>
        </is>
      </c>
      <c r="K12" s="40" t="inlineStr">
        <is>
          <t>R-06</t>
        </is>
      </c>
    </row>
    <row r="13" ht="90" customHeight="1" s="28">
      <c r="A13" s="39" t="inlineStr">
        <is>
          <t>A.5.2</t>
        </is>
      </c>
      <c r="B13" s="40" t="inlineStr">
        <is>
          <t>A.5 Assessing impacts</t>
        </is>
      </c>
      <c r="C13" s="40" t="inlineStr">
        <is>
          <t>AI system impact assessment process</t>
        </is>
      </c>
      <c r="D13" s="40" t="inlineStr">
        <is>
          <t>A process for assessing the impacts of AI systems shall be established.</t>
        </is>
      </c>
      <c r="E13" s="41" t="inlineStr">
        <is>
          <t>Yes</t>
        </is>
      </c>
      <c r="F13" s="40" t="inlineStr">
        <is>
          <t>EU AI Act Art. 9 (risk management) and Art. 27 (FRIA) require systematic impact assessment.</t>
        </is>
      </c>
      <c r="G13" s="42" t="inlineStr">
        <is>
          <t>Implemented</t>
        </is>
      </c>
      <c r="H13" s="40" t="inlineStr">
        <is>
          <t>AI Governance Lead</t>
        </is>
      </c>
      <c r="I13" s="40" t="inlineStr">
        <is>
          <t>AI Impact Assessment template; gating criterion in MLOps release pipeline.</t>
        </is>
      </c>
      <c r="J13" s="40" t="inlineStr">
        <is>
          <t>MA-AIMS-POL-001, POL-002</t>
        </is>
      </c>
      <c r="K13" s="40" t="inlineStr">
        <is>
          <t>R-01, R-02</t>
        </is>
      </c>
    </row>
    <row r="14" ht="90" customHeight="1" s="28">
      <c r="A14" s="39" t="inlineStr">
        <is>
          <t>A.5.3</t>
        </is>
      </c>
      <c r="B14" s="40" t="inlineStr">
        <is>
          <t>A.5 Assessing impacts</t>
        </is>
      </c>
      <c r="C14" s="40" t="inlineStr">
        <is>
          <t>Documentation of AI system impact assessments</t>
        </is>
      </c>
      <c r="D14" s="40" t="inlineStr">
        <is>
          <t>The results of AI impact assessments shall be documented.</t>
        </is>
      </c>
      <c r="E14" s="41" t="inlineStr">
        <is>
          <t>Yes</t>
        </is>
      </c>
      <c r="F14" s="40" t="inlineStr">
        <is>
          <t>Required as evidence for regulators (EU AI Act Art. 11 technical documentation).</t>
        </is>
      </c>
      <c r="G14" s="42" t="inlineStr">
        <is>
          <t>Implemented</t>
        </is>
      </c>
      <c r="H14" s="40" t="inlineStr">
        <is>
          <t>AI Governance Lead</t>
        </is>
      </c>
      <c r="I14" s="40" t="inlineStr">
        <is>
          <t>AIA records retained per Records Retention Schedule; linked to Model Cards.</t>
        </is>
      </c>
      <c r="J14" s="40" t="inlineStr">
        <is>
          <t>MA-AIMS-POL-001</t>
        </is>
      </c>
      <c r="K14" s="40" t="inlineStr">
        <is>
          <t>R-02</t>
        </is>
      </c>
    </row>
    <row r="15" ht="90" customHeight="1" s="28">
      <c r="A15" s="39" t="inlineStr">
        <is>
          <t>A.5.4</t>
        </is>
      </c>
      <c r="B15" s="40" t="inlineStr">
        <is>
          <t>A.5 Assessing impacts</t>
        </is>
      </c>
      <c r="C15" s="40" t="inlineStr">
        <is>
          <t>Assessing AI system impact on individuals</t>
        </is>
      </c>
      <c r="D15" s="40" t="inlineStr">
        <is>
          <t>Impacts on individuals, and groups of individuals, shall be assessed.</t>
        </is>
      </c>
      <c r="E15" s="41" t="inlineStr">
        <is>
          <t>Yes</t>
        </is>
      </c>
      <c r="F15" s="40" t="inlineStr">
        <is>
          <t>Healthcare and credit AI directly affect access to care and financial services.</t>
        </is>
      </c>
      <c r="G15" s="42" t="inlineStr">
        <is>
          <t>Implemented</t>
        </is>
      </c>
      <c r="H15" s="40" t="inlineStr">
        <is>
          <t>AI Governance Lead</t>
        </is>
      </c>
      <c r="I15" s="40" t="inlineStr">
        <is>
          <t>Fundamental Rights Impact Assessment (FRIA) for MedVision and CreditLens; fairness test reports.</t>
        </is>
      </c>
      <c r="J15" s="40" t="inlineStr">
        <is>
          <t>MA-AIMS-POL-002</t>
        </is>
      </c>
      <c r="K15" s="40" t="inlineStr">
        <is>
          <t>R-01</t>
        </is>
      </c>
    </row>
    <row r="16" ht="90" customHeight="1" s="28">
      <c r="A16" s="39" t="inlineStr">
        <is>
          <t>A.5.5</t>
        </is>
      </c>
      <c r="B16" s="40" t="inlineStr">
        <is>
          <t>A.5 Assessing impacts</t>
        </is>
      </c>
      <c r="C16" s="40" t="inlineStr">
        <is>
          <t>Assessing societal impacts of AI systems</t>
        </is>
      </c>
      <c r="D16" s="40" t="inlineStr">
        <is>
          <t>Societal impacts of AI systems shall be assessed.</t>
        </is>
      </c>
      <c r="E16" s="41" t="inlineStr">
        <is>
          <t>Yes</t>
        </is>
      </c>
      <c r="F16" s="40" t="inlineStr">
        <is>
          <t>Credit scoring and healthcare AI can have broader societal consequences (access to capital, equity of care).</t>
        </is>
      </c>
      <c r="G16" s="43" t="inlineStr">
        <is>
          <t>In Progress</t>
        </is>
      </c>
      <c r="H16" s="40" t="inlineStr">
        <is>
          <t>AI Governance Lead</t>
        </is>
      </c>
      <c r="I16" s="40" t="inlineStr">
        <is>
          <t>Societal Impact template drafted; first full assessment planned Q3 2026.</t>
        </is>
      </c>
      <c r="J16" s="40" t="inlineStr">
        <is>
          <t>MA-AIMS-POL-001</t>
        </is>
      </c>
      <c r="K16" s="40" t="inlineStr">
        <is>
          <t>R-01, R-06</t>
        </is>
      </c>
    </row>
    <row r="17" ht="90" customHeight="1" s="28">
      <c r="A17" s="39" t="inlineStr">
        <is>
          <t>A.6.1.2</t>
        </is>
      </c>
      <c r="B17" s="40" t="inlineStr">
        <is>
          <t>A.6 AI system life cycle</t>
        </is>
      </c>
      <c r="C17" s="40" t="inlineStr">
        <is>
          <t>Objectives for responsible development of AI systems</t>
        </is>
      </c>
      <c r="D17" s="40" t="inlineStr">
        <is>
          <t>Objectives for the responsible development of AI systems shall be identified and documented.</t>
        </is>
      </c>
      <c r="E17" s="41" t="inlineStr">
        <is>
          <t>Yes</t>
        </is>
      </c>
      <c r="F17" s="40" t="inlineStr">
        <is>
          <t>Sets the guardrails (fairness, safety, transparency, accountability) for every new model.</t>
        </is>
      </c>
      <c r="G17" s="42" t="inlineStr">
        <is>
          <t>Implemented</t>
        </is>
      </c>
      <c r="H17" s="40" t="inlineStr">
        <is>
          <t>VP Healthcare AI / VP Financial AI</t>
        </is>
      </c>
      <c r="I17" s="40" t="inlineStr">
        <is>
          <t>Responsible AI principles in MA-AIMS-POL-001 §3; product-level OKRs include fairness and explainability.</t>
        </is>
      </c>
      <c r="J17" s="40" t="inlineStr">
        <is>
          <t>MA-AIMS-POL-001</t>
        </is>
      </c>
      <c r="K17" s="40" t="inlineStr">
        <is>
          <t>R-01, R-02</t>
        </is>
      </c>
    </row>
    <row r="18" ht="90" customHeight="1" s="28">
      <c r="A18" s="39" t="inlineStr">
        <is>
          <t>A.6.1.3</t>
        </is>
      </c>
      <c r="B18" s="40" t="inlineStr">
        <is>
          <t>A.6 AI system life cycle</t>
        </is>
      </c>
      <c r="C18" s="40" t="inlineStr">
        <is>
          <t>Processes for responsible design and development of AI systems</t>
        </is>
      </c>
      <c r="D18" s="40" t="inlineStr">
        <is>
          <t>Processes for the responsible design and development of AI systems shall be defined.</t>
        </is>
      </c>
      <c r="E18" s="41" t="inlineStr">
        <is>
          <t>Yes</t>
        </is>
      </c>
      <c r="F18" s="40" t="inlineStr">
        <is>
          <t>Operationalises the principles across the ML lifecycle.</t>
        </is>
      </c>
      <c r="G18" s="42" t="inlineStr">
        <is>
          <t>Implemented</t>
        </is>
      </c>
      <c r="H18" s="40" t="inlineStr">
        <is>
          <t>Director of MLOps</t>
        </is>
      </c>
      <c r="I18" s="40" t="inlineStr">
        <is>
          <t>ML Development SOP; pre-release checklist; pair-review on all model code.</t>
        </is>
      </c>
      <c r="J18" s="40" t="inlineStr">
        <is>
          <t>MA-AIMS-POL-001</t>
        </is>
      </c>
      <c r="K18" s="40" t="inlineStr">
        <is>
          <t>R-01, R-02, R-03</t>
        </is>
      </c>
    </row>
    <row r="19" ht="90" customHeight="1" s="28">
      <c r="A19" s="39" t="inlineStr">
        <is>
          <t>A.6.2.2</t>
        </is>
      </c>
      <c r="B19" s="40" t="inlineStr">
        <is>
          <t>A.6 AI system life cycle</t>
        </is>
      </c>
      <c r="C19" s="40" t="inlineStr">
        <is>
          <t>AI system requirements and specification</t>
        </is>
      </c>
      <c r="D19" s="40" t="inlineStr">
        <is>
          <t>Requirements and specifications for AI systems shall be documented.</t>
        </is>
      </c>
      <c r="E19" s="41" t="inlineStr">
        <is>
          <t>Yes</t>
        </is>
      </c>
      <c r="F19" s="40" t="inlineStr">
        <is>
          <t>Required for traceability between intended use, regulatory classification, and implementation.</t>
        </is>
      </c>
      <c r="G19" s="42" t="inlineStr">
        <is>
          <t>Implemented</t>
        </is>
      </c>
      <c r="H19" s="40" t="inlineStr">
        <is>
          <t>Product Management</t>
        </is>
      </c>
      <c r="I19" s="40" t="inlineStr">
        <is>
          <t>Product Requirements Document + Model Card §2 for every system.</t>
        </is>
      </c>
      <c r="J19" s="40" t="inlineStr">
        <is>
          <t>MA-AIMS-POL-001</t>
        </is>
      </c>
      <c r="K19" s="40" t="inlineStr">
        <is>
          <t>R-02</t>
        </is>
      </c>
    </row>
    <row r="20" ht="90" customHeight="1" s="28">
      <c r="A20" s="39" t="inlineStr">
        <is>
          <t>A.6.2.3</t>
        </is>
      </c>
      <c r="B20" s="40" t="inlineStr">
        <is>
          <t>A.6 AI system life cycle</t>
        </is>
      </c>
      <c r="C20" s="40" t="inlineStr">
        <is>
          <t>Documentation of AI system design and development</t>
        </is>
      </c>
      <c r="D20" s="40" t="inlineStr">
        <is>
          <t>The design and development of AI systems shall be documented.</t>
        </is>
      </c>
      <c r="E20" s="41" t="inlineStr">
        <is>
          <t>Yes</t>
        </is>
      </c>
      <c r="F20" s="40" t="inlineStr">
        <is>
          <t>EU AI Act Art. 11 technical file requirement.</t>
        </is>
      </c>
      <c r="G20" s="42" t="inlineStr">
        <is>
          <t>Implemented</t>
        </is>
      </c>
      <c r="H20" s="40" t="inlineStr">
        <is>
          <t>ML Engineering Lead</t>
        </is>
      </c>
      <c r="I20" s="40" t="inlineStr">
        <is>
          <t>Architecture decision records; experiment tracking in MLflow; training-run artefacts retained.</t>
        </is>
      </c>
      <c r="J20" s="40" t="inlineStr">
        <is>
          <t>MA-AIMS-POL-001</t>
        </is>
      </c>
      <c r="K20" s="40" t="inlineStr">
        <is>
          <t>R-02</t>
        </is>
      </c>
    </row>
    <row r="21" ht="90" customHeight="1" s="28">
      <c r="A21" s="39" t="inlineStr">
        <is>
          <t>A.6.2.4</t>
        </is>
      </c>
      <c r="B21" s="40" t="inlineStr">
        <is>
          <t>A.6 AI system life cycle</t>
        </is>
      </c>
      <c r="C21" s="40" t="inlineStr">
        <is>
          <t>AI system verification and validation</t>
        </is>
      </c>
      <c r="D21" s="40" t="inlineStr">
        <is>
          <t>AI systems shall be verified and validated prior to deployment.</t>
        </is>
      </c>
      <c r="E21" s="41" t="inlineStr">
        <is>
          <t>Yes</t>
        </is>
      </c>
      <c r="F21" s="40" t="inlineStr">
        <is>
          <t>Required by EU AI Act Art. 15 (accuracy, robustness, cybersecurity) and medical device regulation.</t>
        </is>
      </c>
      <c r="G21" s="42" t="inlineStr">
        <is>
          <t>Implemented</t>
        </is>
      </c>
      <c r="H21" s="40" t="inlineStr">
        <is>
          <t>ML Engineering Lead</t>
        </is>
      </c>
      <c r="I21" s="40" t="inlineStr">
        <is>
          <t>Validation protocol per model; hold-out and external test sets; clinical validation for MedVision.</t>
        </is>
      </c>
      <c r="J21" s="40" t="inlineStr">
        <is>
          <t>MA-AIMS-POL-001</t>
        </is>
      </c>
      <c r="K21" s="40" t="inlineStr">
        <is>
          <t>R-03, R-05</t>
        </is>
      </c>
    </row>
    <row r="22" ht="90" customHeight="1" s="28">
      <c r="A22" s="39" t="inlineStr">
        <is>
          <t>A.6.2.5</t>
        </is>
      </c>
      <c r="B22" s="40" t="inlineStr">
        <is>
          <t>A.6 AI system life cycle</t>
        </is>
      </c>
      <c r="C22" s="40" t="inlineStr">
        <is>
          <t>AI system deployment</t>
        </is>
      </c>
      <c r="D22" s="40" t="inlineStr">
        <is>
          <t>AI systems shall be deployed following a defined process.</t>
        </is>
      </c>
      <c r="E22" s="41" t="inlineStr">
        <is>
          <t>Yes</t>
        </is>
      </c>
      <c r="F22" s="40" t="inlineStr">
        <is>
          <t>Gradual rollouts reduce blast radius; required for safety-critical systems.</t>
        </is>
      </c>
      <c r="G22" s="42" t="inlineStr">
        <is>
          <t>Implemented</t>
        </is>
      </c>
      <c r="H22" s="40" t="inlineStr">
        <is>
          <t>Director of MLOps</t>
        </is>
      </c>
      <c r="I22" s="40" t="inlineStr">
        <is>
          <t>MLOps deployment SOP; shadow mode + A/B + canary; sign-off gate enforced by pipeline.</t>
        </is>
      </c>
      <c r="J22" s="40" t="inlineStr">
        <is>
          <t>MA-AIMS-POL-001</t>
        </is>
      </c>
      <c r="K22" s="40" t="inlineStr">
        <is>
          <t>R-03</t>
        </is>
      </c>
    </row>
    <row r="23" ht="90" customHeight="1" s="28">
      <c r="A23" s="39" t="inlineStr">
        <is>
          <t>A.6.2.6</t>
        </is>
      </c>
      <c r="B23" s="40" t="inlineStr">
        <is>
          <t>A.6 AI system life cycle</t>
        </is>
      </c>
      <c r="C23" s="40" t="inlineStr">
        <is>
          <t>AI system operation and monitoring</t>
        </is>
      </c>
      <c r="D23" s="40" t="inlineStr">
        <is>
          <t>AI systems in production shall be operated and monitored.</t>
        </is>
      </c>
      <c r="E23" s="41" t="inlineStr">
        <is>
          <t>Yes</t>
        </is>
      </c>
      <c r="F23" s="40" t="inlineStr">
        <is>
          <t>Required to detect drift, performance regression, and emerging fairness issues.</t>
        </is>
      </c>
      <c r="G23" s="42" t="inlineStr">
        <is>
          <t>Implemented</t>
        </is>
      </c>
      <c r="H23" s="40" t="inlineStr">
        <is>
          <t>Director of MLOps</t>
        </is>
      </c>
      <c r="I23" s="40" t="inlineStr">
        <is>
          <t>Real-time dashboards; drift detection; monthly fairness reports; incident SLAs.</t>
        </is>
      </c>
      <c r="J23" s="40" t="inlineStr">
        <is>
          <t>MA-AIMS-POL-001, POL-004</t>
        </is>
      </c>
      <c r="K23" s="40" t="inlineStr">
        <is>
          <t>R-03</t>
        </is>
      </c>
    </row>
    <row r="24" ht="90" customHeight="1" s="28">
      <c r="A24" s="39" t="inlineStr">
        <is>
          <t>A.6.2.7</t>
        </is>
      </c>
      <c r="B24" s="40" t="inlineStr">
        <is>
          <t>A.6 AI system life cycle</t>
        </is>
      </c>
      <c r="C24" s="40" t="inlineStr">
        <is>
          <t>AI system technical documentation</t>
        </is>
      </c>
      <c r="D24" s="40" t="inlineStr">
        <is>
          <t>Technical documentation of AI systems shall be prepared.</t>
        </is>
      </c>
      <c r="E24" s="41" t="inlineStr">
        <is>
          <t>Yes</t>
        </is>
      </c>
      <c r="F24" s="40" t="inlineStr">
        <is>
          <t>EU AI Act Annex IV and medical device technical file.</t>
        </is>
      </c>
      <c r="G24" s="42" t="inlineStr">
        <is>
          <t>Implemented</t>
        </is>
      </c>
      <c r="H24" s="40" t="inlineStr">
        <is>
          <t>AI Governance Lead</t>
        </is>
      </c>
      <c r="I24" s="40" t="inlineStr">
        <is>
          <t>Model Cards (MA-AIMS-MC-001); technical files for high-risk systems.</t>
        </is>
      </c>
      <c r="J24" s="40" t="inlineStr">
        <is>
          <t>MA-AIMS-POL-001</t>
        </is>
      </c>
      <c r="K24" s="40" t="inlineStr">
        <is>
          <t>R-02</t>
        </is>
      </c>
    </row>
    <row r="25" ht="90" customHeight="1" s="28">
      <c r="A25" s="39" t="inlineStr">
        <is>
          <t>A.6.2.8</t>
        </is>
      </c>
      <c r="B25" s="40" t="inlineStr">
        <is>
          <t>A.6 AI system life cycle</t>
        </is>
      </c>
      <c r="C25" s="40" t="inlineStr">
        <is>
          <t>AI system recording of event logs</t>
        </is>
      </c>
      <c r="D25" s="40" t="inlineStr">
        <is>
          <t>AI systems shall record event logs throughout the lifecycle.</t>
        </is>
      </c>
      <c r="E25" s="41" t="inlineStr">
        <is>
          <t>Yes</t>
        </is>
      </c>
      <c r="F25" s="40" t="inlineStr">
        <is>
          <t>EU AI Act Art. 12 requires automatic event logging for high-risk AI systems.</t>
        </is>
      </c>
      <c r="G25" s="42" t="inlineStr">
        <is>
          <t>Implemented</t>
        </is>
      </c>
      <c r="H25" s="40" t="inlineStr">
        <is>
          <t>Director of MLOps</t>
        </is>
      </c>
      <c r="I25" s="40" t="inlineStr">
        <is>
          <t>Centralised logging in AWS CloudTrail + CloudWatch; inference logs retained per policy.</t>
        </is>
      </c>
      <c r="J25" s="40" t="inlineStr">
        <is>
          <t>MA-AIMS-POL-004</t>
        </is>
      </c>
      <c r="K25" s="40" t="inlineStr">
        <is>
          <t>R-05, R-06</t>
        </is>
      </c>
    </row>
    <row r="26" ht="90" customHeight="1" s="28">
      <c r="A26" s="39" t="inlineStr">
        <is>
          <t>A.7.2</t>
        </is>
      </c>
      <c r="B26" s="40" t="inlineStr">
        <is>
          <t>A.7 Data for AI systems</t>
        </is>
      </c>
      <c r="C26" s="40" t="inlineStr">
        <is>
          <t>Data for development and enhancement of AI systems</t>
        </is>
      </c>
      <c r="D26" s="40" t="inlineStr">
        <is>
          <t>Data used to develop and enhance AI systems shall be managed.</t>
        </is>
      </c>
      <c r="E26" s="41" t="inlineStr">
        <is>
          <t>Yes</t>
        </is>
      </c>
      <c r="F26" s="40" t="inlineStr">
        <is>
          <t>Core to fairness, accuracy, and regulatory conformity.</t>
        </is>
      </c>
      <c r="G26" s="42" t="inlineStr">
        <is>
          <t>Implemented</t>
        </is>
      </c>
      <c r="H26" s="40" t="inlineStr">
        <is>
          <t>Chief Data Officer</t>
        </is>
      </c>
      <c r="I26" s="40" t="inlineStr">
        <is>
          <t>Dataset management SOP; versioned datasets; access controls.</t>
        </is>
      </c>
      <c r="J26" s="40" t="inlineStr">
        <is>
          <t>MA-AIMS-POL-003</t>
        </is>
      </c>
      <c r="K26" s="40" t="inlineStr">
        <is>
          <t>R-01, R-04</t>
        </is>
      </c>
    </row>
    <row r="27" ht="90" customHeight="1" s="28">
      <c r="A27" s="39" t="inlineStr">
        <is>
          <t>A.7.3</t>
        </is>
      </c>
      <c r="B27" s="40" t="inlineStr">
        <is>
          <t>A.7 Data for AI systems</t>
        </is>
      </c>
      <c r="C27" s="40" t="inlineStr">
        <is>
          <t>Acquisition of data</t>
        </is>
      </c>
      <c r="D27" s="40" t="inlineStr">
        <is>
          <t>Data shall be acquired following a defined process.</t>
        </is>
      </c>
      <c r="E27" s="41" t="inlineStr">
        <is>
          <t>Yes</t>
        </is>
      </c>
      <c r="F27" s="40" t="inlineStr">
        <is>
          <t>Healthcare data requires IRB/REB, consent; financial data requires contract + lawful basis.</t>
        </is>
      </c>
      <c r="G27" s="42" t="inlineStr">
        <is>
          <t>Implemented</t>
        </is>
      </c>
      <c r="H27" s="40" t="inlineStr">
        <is>
          <t>Chief Data Officer</t>
        </is>
      </c>
      <c r="I27" s="40" t="inlineStr">
        <is>
          <t>Data Acquisition SOP; IRB/REB tracker; DPA templates.</t>
        </is>
      </c>
      <c r="J27" s="40" t="inlineStr">
        <is>
          <t>MA-AIMS-POL-003</t>
        </is>
      </c>
      <c r="K27" s="40" t="inlineStr">
        <is>
          <t>R-04</t>
        </is>
      </c>
    </row>
    <row r="28" ht="90" customHeight="1" s="28">
      <c r="A28" s="39" t="inlineStr">
        <is>
          <t>A.7.4</t>
        </is>
      </c>
      <c r="B28" s="40" t="inlineStr">
        <is>
          <t>A.7 Data for AI systems</t>
        </is>
      </c>
      <c r="C28" s="40" t="inlineStr">
        <is>
          <t>Quality of data for AI systems</t>
        </is>
      </c>
      <c r="D28" s="40" t="inlineStr">
        <is>
          <t>The quality of data used for AI systems shall be managed.</t>
        </is>
      </c>
      <c r="E28" s="41" t="inlineStr">
        <is>
          <t>Yes</t>
        </is>
      </c>
      <c r="F28" s="40" t="inlineStr">
        <is>
          <t>Data quality directly affects accuracy and fairness.</t>
        </is>
      </c>
      <c r="G28" s="42" t="inlineStr">
        <is>
          <t>Implemented</t>
        </is>
      </c>
      <c r="H28" s="40" t="inlineStr">
        <is>
          <t>Chief Data Officer</t>
        </is>
      </c>
      <c r="I28" s="40" t="inlineStr">
        <is>
          <t>Great Expectations checks in data pipeline; data quality dashboards.</t>
        </is>
      </c>
      <c r="J28" s="40" t="inlineStr">
        <is>
          <t>MA-AIMS-POL-003</t>
        </is>
      </c>
      <c r="K28" s="40" t="inlineStr">
        <is>
          <t>R-01, R-03</t>
        </is>
      </c>
    </row>
    <row r="29" ht="90" customHeight="1" s="28">
      <c r="A29" s="39" t="inlineStr">
        <is>
          <t>A.7.5</t>
        </is>
      </c>
      <c r="B29" s="40" t="inlineStr">
        <is>
          <t>A.7 Data for AI systems</t>
        </is>
      </c>
      <c r="C29" s="40" t="inlineStr">
        <is>
          <t>Data provenance</t>
        </is>
      </c>
      <c r="D29" s="40" t="inlineStr">
        <is>
          <t>The provenance of data shall be documented.</t>
        </is>
      </c>
      <c r="E29" s="41" t="inlineStr">
        <is>
          <t>Yes</t>
        </is>
      </c>
      <c r="F29" s="40" t="inlineStr">
        <is>
          <t>Required for audit, reproducibility, and EU AI Act Art. 10.</t>
        </is>
      </c>
      <c r="G29" s="42" t="inlineStr">
        <is>
          <t>Implemented</t>
        </is>
      </c>
      <c r="H29" s="40" t="inlineStr">
        <is>
          <t>Chief Data Officer</t>
        </is>
      </c>
      <c r="I29" s="40" t="inlineStr">
        <is>
          <t>Lineage tracked end-to-end in AI Training Data Platform.</t>
        </is>
      </c>
      <c r="J29" s="40" t="inlineStr">
        <is>
          <t>MA-AIMS-POL-003</t>
        </is>
      </c>
      <c r="K29" s="40" t="inlineStr">
        <is>
          <t>R-02, R-04</t>
        </is>
      </c>
    </row>
    <row r="30" ht="90" customHeight="1" s="28">
      <c r="A30" s="39" t="inlineStr">
        <is>
          <t>A.7.6</t>
        </is>
      </c>
      <c r="B30" s="40" t="inlineStr">
        <is>
          <t>A.7 Data for AI systems</t>
        </is>
      </c>
      <c r="C30" s="40" t="inlineStr">
        <is>
          <t>Data preparation</t>
        </is>
      </c>
      <c r="D30" s="40" t="inlineStr">
        <is>
          <t>Data preparation shall be documented.</t>
        </is>
      </c>
      <c r="E30" s="41" t="inlineStr">
        <is>
          <t>Yes</t>
        </is>
      </c>
      <c r="F30" s="40" t="inlineStr">
        <is>
          <t>Feature engineering decisions materially affect model behaviour and bias.</t>
        </is>
      </c>
      <c r="G30" s="42" t="inlineStr">
        <is>
          <t>Implemented</t>
        </is>
      </c>
      <c r="H30" s="40" t="inlineStr">
        <is>
          <t>ML Engineering Lead</t>
        </is>
      </c>
      <c r="I30" s="40" t="inlineStr">
        <is>
          <t>Feature store with documented transformations; feature review checklist.</t>
        </is>
      </c>
      <c r="J30" s="40" t="inlineStr">
        <is>
          <t>MA-AIMS-POL-003</t>
        </is>
      </c>
      <c r="K30" s="40" t="inlineStr">
        <is>
          <t>R-01</t>
        </is>
      </c>
    </row>
    <row r="31" ht="90" customHeight="1" s="28">
      <c r="A31" s="39" t="inlineStr">
        <is>
          <t>A.8.2</t>
        </is>
      </c>
      <c r="B31" s="40" t="inlineStr">
        <is>
          <t>A.8 Information for interested parties</t>
        </is>
      </c>
      <c r="C31" s="40" t="inlineStr">
        <is>
          <t>System documentation and information for users</t>
        </is>
      </c>
      <c r="D31" s="40" t="inlineStr">
        <is>
          <t>Information shall be provided to users of AI systems.</t>
        </is>
      </c>
      <c r="E31" s="41" t="inlineStr">
        <is>
          <t>Yes</t>
        </is>
      </c>
      <c r="F31" s="40" t="inlineStr">
        <is>
          <t>EU AI Act Art. 13 transparency obligation; required for safe clinical use.</t>
        </is>
      </c>
      <c r="G31" s="42" t="inlineStr">
        <is>
          <t>Implemented</t>
        </is>
      </c>
      <c r="H31" s="40" t="inlineStr">
        <is>
          <t>Product Management</t>
        </is>
      </c>
      <c r="I31" s="40" t="inlineStr">
        <is>
          <t>Instructions For Use; user training materials; Model Cards (customer-facing extract).</t>
        </is>
      </c>
      <c r="J31" s="40" t="inlineStr">
        <is>
          <t>MA-AIMS-POL-001</t>
        </is>
      </c>
      <c r="K31" s="40" t="inlineStr">
        <is>
          <t>R-02</t>
        </is>
      </c>
    </row>
    <row r="32" ht="90" customHeight="1" s="28">
      <c r="A32" s="39" t="inlineStr">
        <is>
          <t>A.8.3</t>
        </is>
      </c>
      <c r="B32" s="40" t="inlineStr">
        <is>
          <t>A.8 Information for interested parties</t>
        </is>
      </c>
      <c r="C32" s="40" t="inlineStr">
        <is>
          <t>External reporting</t>
        </is>
      </c>
      <c r="D32" s="40" t="inlineStr">
        <is>
          <t>External reporting obligations shall be identified and managed.</t>
        </is>
      </c>
      <c r="E32" s="41" t="inlineStr">
        <is>
          <t>Yes</t>
        </is>
      </c>
      <c r="F32" s="40" t="inlineStr">
        <is>
          <t>EU AI Act Art. 62 (serious incident reporting), MDR vigilance, AML SAR reporting.</t>
        </is>
      </c>
      <c r="G32" s="42" t="inlineStr">
        <is>
          <t>Implemented</t>
        </is>
      </c>
      <c r="H32" s="40" t="inlineStr">
        <is>
          <t>AI Governance Lead</t>
        </is>
      </c>
      <c r="I32" s="40" t="inlineStr">
        <is>
          <t>External reporting matrix; 15-day SLA for serious incidents; regulator contact register.</t>
        </is>
      </c>
      <c r="J32" s="40" t="inlineStr">
        <is>
          <t>MA-AIMS-POL-004</t>
        </is>
      </c>
      <c r="K32" s="40" t="inlineStr">
        <is>
          <t>R-05, R-06</t>
        </is>
      </c>
    </row>
    <row r="33" ht="90" customHeight="1" s="28">
      <c r="A33" s="39" t="inlineStr">
        <is>
          <t>A.8.4</t>
        </is>
      </c>
      <c r="B33" s="40" t="inlineStr">
        <is>
          <t>A.8 Information for interested parties</t>
        </is>
      </c>
      <c r="C33" s="40" t="inlineStr">
        <is>
          <t>Communication of incidents</t>
        </is>
      </c>
      <c r="D33" s="40" t="inlineStr">
        <is>
          <t>Incidents shall be communicated to interested parties.</t>
        </is>
      </c>
      <c r="E33" s="41" t="inlineStr">
        <is>
          <t>Yes</t>
        </is>
      </c>
      <c r="F33" s="40" t="inlineStr">
        <is>
          <t>Required for clinical safety and customer trust.</t>
        </is>
      </c>
      <c r="G33" s="42" t="inlineStr">
        <is>
          <t>Implemented</t>
        </is>
      </c>
      <c r="H33" s="40" t="inlineStr">
        <is>
          <t>AI Governance Lead</t>
        </is>
      </c>
      <c r="I33" s="40" t="inlineStr">
        <is>
          <t>Incident comms plan in MA-AIMS-POL-004; customer notification templates.</t>
        </is>
      </c>
      <c r="J33" s="40" t="inlineStr">
        <is>
          <t>MA-AIMS-POL-004</t>
        </is>
      </c>
      <c r="K33" s="40" t="inlineStr">
        <is>
          <t>R-05, R-06</t>
        </is>
      </c>
    </row>
    <row r="34" ht="90" customHeight="1" s="28">
      <c r="A34" s="39" t="inlineStr">
        <is>
          <t>A.8.5</t>
        </is>
      </c>
      <c r="B34" s="40" t="inlineStr">
        <is>
          <t>A.8 Information for interested parties</t>
        </is>
      </c>
      <c r="C34" s="40" t="inlineStr">
        <is>
          <t>Information for interested parties</t>
        </is>
      </c>
      <c r="D34" s="40" t="inlineStr">
        <is>
          <t>Information shall be provided to relevant interested parties.</t>
        </is>
      </c>
      <c r="E34" s="41" t="inlineStr">
        <is>
          <t>Yes</t>
        </is>
      </c>
      <c r="F34" s="40" t="inlineStr">
        <is>
          <t>Customers, regulators, clinicians, affected individuals all need tailored information.</t>
        </is>
      </c>
      <c r="G34" s="42" t="inlineStr">
        <is>
          <t>Implemented</t>
        </is>
      </c>
      <c r="H34" s="40" t="inlineStr">
        <is>
          <t>AI Governance Lead</t>
        </is>
      </c>
      <c r="I34" s="40" t="inlineStr">
        <is>
          <t>Stakeholder map; website AI transparency page; customer trust portal.</t>
        </is>
      </c>
      <c r="J34" s="40" t="inlineStr">
        <is>
          <t>MA-AIMS-POL-001</t>
        </is>
      </c>
      <c r="K34" s="40" t="inlineStr">
        <is>
          <t>R-02</t>
        </is>
      </c>
    </row>
    <row r="35" ht="90" customHeight="1" s="28">
      <c r="A35" s="39" t="inlineStr">
        <is>
          <t>A.9.2</t>
        </is>
      </c>
      <c r="B35" s="40" t="inlineStr">
        <is>
          <t>A.9 Use of AI systems</t>
        </is>
      </c>
      <c r="C35" s="40" t="inlineStr">
        <is>
          <t>Processes for responsible use of AI systems</t>
        </is>
      </c>
      <c r="D35" s="40" t="inlineStr">
        <is>
          <t>Processes for the responsible use of AI systems shall be defined.</t>
        </is>
      </c>
      <c r="E35" s="41" t="inlineStr">
        <is>
          <t>Yes</t>
        </is>
      </c>
      <c r="F35" s="40" t="inlineStr">
        <is>
          <t>MindfulAI is both developer and deployer (internal tooling uses external AI); also provides guidance to customer-deployers.</t>
        </is>
      </c>
      <c r="G35" s="42" t="inlineStr">
        <is>
          <t>Implemented</t>
        </is>
      </c>
      <c r="H35" s="40" t="inlineStr">
        <is>
          <t>AI Governance Lead</t>
        </is>
      </c>
      <c r="I35" s="40" t="inlineStr">
        <is>
          <t>Acceptable Use guidelines; internal AI tools review board.</t>
        </is>
      </c>
      <c r="J35" s="40" t="inlineStr">
        <is>
          <t>MA-AIMS-POL-001</t>
        </is>
      </c>
      <c r="K35" s="40" t="inlineStr">
        <is>
          <t>R-06</t>
        </is>
      </c>
    </row>
    <row r="36" ht="90" customHeight="1" s="28">
      <c r="A36" s="39" t="inlineStr">
        <is>
          <t>A.9.3</t>
        </is>
      </c>
      <c r="B36" s="40" t="inlineStr">
        <is>
          <t>A.9 Use of AI systems</t>
        </is>
      </c>
      <c r="C36" s="40" t="inlineStr">
        <is>
          <t>Objectives for responsible use of AI system</t>
        </is>
      </c>
      <c r="D36" s="40" t="inlineStr">
        <is>
          <t>Objectives for responsible use of AI systems shall be identified.</t>
        </is>
      </c>
      <c r="E36" s="41" t="inlineStr">
        <is>
          <t>Yes</t>
        </is>
      </c>
      <c r="F36" s="40" t="inlineStr">
        <is>
          <t>Aligns deployment behaviour with responsible AI principles.</t>
        </is>
      </c>
      <c r="G36" s="42" t="inlineStr">
        <is>
          <t>Implemented</t>
        </is>
      </c>
      <c r="H36" s="40" t="inlineStr">
        <is>
          <t>AI Governance Lead</t>
        </is>
      </c>
      <c r="I36" s="40" t="inlineStr">
        <is>
          <t>Responsible use OKRs; customer deployment guardrails in MA-AIMS-POL-001.</t>
        </is>
      </c>
      <c r="J36" s="40" t="inlineStr">
        <is>
          <t>MA-AIMS-POL-001</t>
        </is>
      </c>
      <c r="K36" s="40" t="inlineStr">
        <is>
          <t>R-06</t>
        </is>
      </c>
    </row>
    <row r="37" ht="90" customHeight="1" s="28">
      <c r="A37" s="39" t="inlineStr">
        <is>
          <t>A.9.4</t>
        </is>
      </c>
      <c r="B37" s="40" t="inlineStr">
        <is>
          <t>A.9 Use of AI systems</t>
        </is>
      </c>
      <c r="C37" s="40" t="inlineStr">
        <is>
          <t>Intended use of the AI system</t>
        </is>
      </c>
      <c r="D37" s="40" t="inlineStr">
        <is>
          <t>The intended use of AI systems shall be defined.</t>
        </is>
      </c>
      <c r="E37" s="41" t="inlineStr">
        <is>
          <t>Yes</t>
        </is>
      </c>
      <c r="F37" s="40" t="inlineStr">
        <is>
          <t>Model Cards §2 captures intended and out-of-scope uses.</t>
        </is>
      </c>
      <c r="G37" s="42" t="inlineStr">
        <is>
          <t>Implemented</t>
        </is>
      </c>
      <c r="H37" s="40" t="inlineStr">
        <is>
          <t>Product Management</t>
        </is>
      </c>
      <c r="I37" s="40" t="inlineStr">
        <is>
          <t>Model Card §2 for every deployed system; acceptable-use clauses in customer contracts.</t>
        </is>
      </c>
      <c r="J37" s="40" t="inlineStr">
        <is>
          <t>MA-AIMS-POL-001</t>
        </is>
      </c>
      <c r="K37" s="40" t="inlineStr">
        <is>
          <t>R-02, R-05</t>
        </is>
      </c>
    </row>
    <row r="38" ht="90" customHeight="1" s="28">
      <c r="A38" s="39" t="inlineStr">
        <is>
          <t>A.10.2</t>
        </is>
      </c>
      <c r="B38" s="40" t="inlineStr">
        <is>
          <t>A.10 Third-party and customer relationships</t>
        </is>
      </c>
      <c r="C38" s="40" t="inlineStr">
        <is>
          <t>Allocating responsibilities</t>
        </is>
      </c>
      <c r="D38" s="40" t="inlineStr">
        <is>
          <t>Responsibilities shall be allocated between the organization and third parties.</t>
        </is>
      </c>
      <c r="E38" s="41" t="inlineStr">
        <is>
          <t>Yes</t>
        </is>
      </c>
      <c r="F38" s="40" t="inlineStr">
        <is>
          <t>Customer financial institutions and hospitals share deployment responsibilities.</t>
        </is>
      </c>
      <c r="G38" s="42" t="inlineStr">
        <is>
          <t>Implemented</t>
        </is>
      </c>
      <c r="H38" s="40" t="inlineStr">
        <is>
          <t>Legal + AI Governance Lead</t>
        </is>
      </c>
      <c r="I38" s="40" t="inlineStr">
        <is>
          <t>Responsibility matrix in customer contracts; joint-controller agreements where applicable.</t>
        </is>
      </c>
      <c r="J38" s="40" t="inlineStr">
        <is>
          <t>MA-AIMS-POL-001</t>
        </is>
      </c>
      <c r="K38" s="40" t="inlineStr">
        <is>
          <t>R-06</t>
        </is>
      </c>
    </row>
    <row r="39" ht="90" customHeight="1" s="28">
      <c r="A39" s="39" t="inlineStr">
        <is>
          <t>A.10.3</t>
        </is>
      </c>
      <c r="B39" s="40" t="inlineStr">
        <is>
          <t>A.10 Third-party and customer relationships</t>
        </is>
      </c>
      <c r="C39" s="40" t="inlineStr">
        <is>
          <t>Suppliers</t>
        </is>
      </c>
      <c r="D39" s="40" t="inlineStr">
        <is>
          <t>Third-party suppliers involved in AI systems shall be managed.</t>
        </is>
      </c>
      <c r="E39" s="41" t="inlineStr">
        <is>
          <t>Yes</t>
        </is>
      </c>
      <c r="F39" s="40" t="inlineStr">
        <is>
          <t>Cloud provider (AWS), annotation vendors, and open-source model dependencies.</t>
        </is>
      </c>
      <c r="G39" s="42" t="inlineStr">
        <is>
          <t>Implemented</t>
        </is>
      </c>
      <c r="H39" s="40" t="inlineStr">
        <is>
          <t>Procurement + Security</t>
        </is>
      </c>
      <c r="I39" s="40" t="inlineStr">
        <is>
          <t>Vendor risk register; AI-specific supplier questionnaire; SOC 2 / ISO 27001 evidence collected.</t>
        </is>
      </c>
      <c r="J39" s="40" t="inlineStr">
        <is>
          <t>MA-AIMS-POL-001</t>
        </is>
      </c>
      <c r="K39" s="40" t="inlineStr">
        <is>
          <t>R-04, R-05</t>
        </is>
      </c>
    </row>
    <row r="40">
      <c r="A40" s="39" t="inlineStr">
        <is>
          <t>A.10.4</t>
        </is>
      </c>
      <c r="B40" s="40" t="inlineStr">
        <is>
          <t>A.10 Third-party and customer relationships</t>
        </is>
      </c>
      <c r="C40" s="40" t="inlineStr">
        <is>
          <t>Customers</t>
        </is>
      </c>
      <c r="D40" s="40" t="inlineStr">
        <is>
          <t>AI system customers shall be managed.</t>
        </is>
      </c>
      <c r="E40" s="41" t="inlineStr">
        <is>
          <t>Yes</t>
        </is>
      </c>
      <c r="F40" s="40" t="inlineStr">
        <is>
          <t>Customer onboarding includes deployment training and ongoing support.</t>
        </is>
      </c>
      <c r="G40" s="42" t="inlineStr">
        <is>
          <t>Implemented</t>
        </is>
      </c>
      <c r="H40" s="40" t="inlineStr">
        <is>
          <t>Customer Success + AI Governance Lead</t>
        </is>
      </c>
      <c r="I40" s="40" t="inlineStr">
        <is>
          <t>Customer onboarding SOP; quarterly AI governance review; customer-facing Trust Portal.</t>
        </is>
      </c>
      <c r="J40" s="40" t="inlineStr">
        <is>
          <t>MA-AIMS-POL-001</t>
        </is>
      </c>
      <c r="K40" s="40" t="inlineStr">
        <is>
          <t>R-06</t>
        </is>
      </c>
    </row>
  </sheetData>
  <sheetProtection selectLockedCells="0" selectUnlockedCells="0" sheet="1" objects="0" insertRows="0" insertHyperlinks="0" autoFilter="1" scenarios="0" formatColumns="0" deleteColumns="0" insertColumns="0" pivotTables="0" deleteRows="0" formatCells="0" formatRows="0" sort="1" password="96FA"/>
  <autoFilter ref="A1:K39"/>
  <mergeCells count="1">
    <mergeCell ref="A1:K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&amp;C&amp;10 &amp;KC2410C&amp;B&amp;"Calibri"&amp;10&amp;K592816Tejaswini Dondeti — Portfolio Sample</oddHeader>
    <oddFooter/>
    <evenHeader>&amp;C&amp;10 &amp;KC2410C&amp;B&amp;"Calibri"&amp;10&amp;K592816Tejaswini Dondeti — Portfolio Sample</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G22"/>
  <sheetViews>
    <sheetView showFormulas="0" showGridLines="0"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A1" activeCellId="0" sqref="A1"/>
    </sheetView>
  </sheetViews>
  <sheetFormatPr baseColWidth="8" defaultColWidth="8.6796875" defaultRowHeight="15" customHeight="0" zeroHeight="0" outlineLevelRow="0"/>
  <cols>
    <col width="3" customWidth="1" style="27" min="1" max="1"/>
    <col width="34" customWidth="1" style="27" min="2" max="2"/>
    <col width="14" customWidth="1" style="27" min="3" max="7"/>
  </cols>
  <sheetData>
    <row r="1" ht="30" customHeight="1" s="28">
      <c r="A1" s="29" t="inlineStr">
        <is>
          <t>Tejaswini Dondeti — Portfolio Sample  •  tejaswinidondeti.github.io  •  Read-only preview — please do not edit or redistribute</t>
        </is>
      </c>
    </row>
    <row r="2" ht="19.7" customHeight="1" s="28"/>
    <row r="3">
      <c r="B3" s="44" t="inlineStr">
        <is>
          <t>SoA Summary — by Category</t>
        </is>
      </c>
    </row>
    <row r="4" ht="31.5" customHeight="1" s="28"/>
    <row r="5" ht="15" customHeight="1" s="28">
      <c r="B5" s="38" t="inlineStr">
        <is>
          <t>Category</t>
        </is>
      </c>
      <c r="C5" s="38" t="inlineStr">
        <is>
          <t>Total</t>
        </is>
      </c>
      <c r="D5" s="38" t="inlineStr">
        <is>
          <t>Applicable</t>
        </is>
      </c>
      <c r="E5" s="38" t="inlineStr">
        <is>
          <t>Implemented</t>
        </is>
      </c>
      <c r="F5" s="38" t="inlineStr">
        <is>
          <t>In Progress</t>
        </is>
      </c>
      <c r="G5" s="38" t="inlineStr">
        <is>
          <t>Applicability %</t>
        </is>
      </c>
    </row>
    <row r="6" ht="15" customHeight="1" s="28">
      <c r="B6" s="40" t="inlineStr">
        <is>
          <t>A.2 Policies related to AI</t>
        </is>
      </c>
      <c r="C6" s="41">
        <f>COUNTIF(SoA!B:B,"A.2 Policies related to AI")</f>
        <v/>
      </c>
      <c r="D6" s="41">
        <f>COUNTIFS(SoA!B:B,"A.2 Policies related to AI",SoA!E:E,"Yes")</f>
        <v/>
      </c>
      <c r="E6" s="41">
        <f>COUNTIFS(SoA!B:B,"A.2 Policies related to AI",SoA!G:G,"Implemented")</f>
        <v/>
      </c>
      <c r="F6" s="41">
        <f>COUNTIFS(SoA!B:B,"A.2 Policies related to AI",SoA!G:G,"In Progress")</f>
        <v/>
      </c>
      <c r="G6" s="45">
        <f>IFERROR(D5/C5,0)</f>
        <v/>
      </c>
    </row>
    <row r="7" ht="15" customHeight="1" s="28">
      <c r="B7" s="40" t="inlineStr">
        <is>
          <t>A.3 Internal organization</t>
        </is>
      </c>
      <c r="C7" s="41">
        <f>COUNTIF(SoA!B:B,"A.3 Internal organization")</f>
        <v/>
      </c>
      <c r="D7" s="41">
        <f>COUNTIFS(SoA!B:B,"A.3 Internal organization",SoA!E:E,"Yes")</f>
        <v/>
      </c>
      <c r="E7" s="41">
        <f>COUNTIFS(SoA!B:B,"A.3 Internal organization",SoA!G:G,"Implemented")</f>
        <v/>
      </c>
      <c r="F7" s="41">
        <f>COUNTIFS(SoA!B:B,"A.3 Internal organization",SoA!G:G,"In Progress")</f>
        <v/>
      </c>
      <c r="G7" s="45">
        <f>IFERROR(D6/C6,0)</f>
        <v/>
      </c>
    </row>
    <row r="8" ht="15" customHeight="1" s="28">
      <c r="B8" s="40" t="inlineStr">
        <is>
          <t>A.4 Resources for AI systems</t>
        </is>
      </c>
      <c r="C8" s="41">
        <f>COUNTIF(SoA!B:B,"A.4 Resources for AI systems")</f>
        <v/>
      </c>
      <c r="D8" s="41">
        <f>COUNTIFS(SoA!B:B,"A.4 Resources for AI systems",SoA!E:E,"Yes")</f>
        <v/>
      </c>
      <c r="E8" s="41">
        <f>COUNTIFS(SoA!B:B,"A.4 Resources for AI systems",SoA!G:G,"Implemented")</f>
        <v/>
      </c>
      <c r="F8" s="41">
        <f>COUNTIFS(SoA!B:B,"A.4 Resources for AI systems",SoA!G:G,"In Progress")</f>
        <v/>
      </c>
      <c r="G8" s="45">
        <f>IFERROR(D7/C7,0)</f>
        <v/>
      </c>
    </row>
    <row r="9" ht="15" customHeight="1" s="28">
      <c r="B9" s="40" t="inlineStr">
        <is>
          <t>A.5 Assessing impacts</t>
        </is>
      </c>
      <c r="C9" s="41">
        <f>COUNTIF(SoA!B:B,"A.5 Assessing impacts")</f>
        <v/>
      </c>
      <c r="D9" s="41">
        <f>COUNTIFS(SoA!B:B,"A.5 Assessing impacts",SoA!E:E,"Yes")</f>
        <v/>
      </c>
      <c r="E9" s="41">
        <f>COUNTIFS(SoA!B:B,"A.5 Assessing impacts",SoA!G:G,"Implemented")</f>
        <v/>
      </c>
      <c r="F9" s="41">
        <f>COUNTIFS(SoA!B:B,"A.5 Assessing impacts",SoA!G:G,"In Progress")</f>
        <v/>
      </c>
      <c r="G9" s="45">
        <f>IFERROR(D8/C8,0)</f>
        <v/>
      </c>
    </row>
    <row r="10" ht="15" customHeight="1" s="28">
      <c r="B10" s="40" t="inlineStr">
        <is>
          <t>A.6 AI system life cycle</t>
        </is>
      </c>
      <c r="C10" s="41">
        <f>COUNTIF(SoA!B:B,"A.6 AI system life cycle")</f>
        <v/>
      </c>
      <c r="D10" s="41">
        <f>COUNTIFS(SoA!B:B,"A.6 AI system life cycle",SoA!E:E,"Yes")</f>
        <v/>
      </c>
      <c r="E10" s="41">
        <f>COUNTIFS(SoA!B:B,"A.6 AI system life cycle",SoA!G:G,"Implemented")</f>
        <v/>
      </c>
      <c r="F10" s="41">
        <f>COUNTIFS(SoA!B:B,"A.6 AI system life cycle",SoA!G:G,"In Progress")</f>
        <v/>
      </c>
      <c r="G10" s="45">
        <f>IFERROR(D9/C9,0)</f>
        <v/>
      </c>
    </row>
    <row r="11" ht="15" customHeight="1" s="28">
      <c r="B11" s="40" t="inlineStr">
        <is>
          <t>A.7 Data for AI systems</t>
        </is>
      </c>
      <c r="C11" s="41">
        <f>COUNTIF(SoA!B:B,"A.7 Data for AI systems")</f>
        <v/>
      </c>
      <c r="D11" s="41">
        <f>COUNTIFS(SoA!B:B,"A.7 Data for AI systems",SoA!E:E,"Yes")</f>
        <v/>
      </c>
      <c r="E11" s="41">
        <f>COUNTIFS(SoA!B:B,"A.7 Data for AI systems",SoA!G:G,"Implemented")</f>
        <v/>
      </c>
      <c r="F11" s="41">
        <f>COUNTIFS(SoA!B:B,"A.7 Data for AI systems",SoA!G:G,"In Progress")</f>
        <v/>
      </c>
      <c r="G11" s="45">
        <f>IFERROR(D10/C10,0)</f>
        <v/>
      </c>
    </row>
    <row r="12" ht="15" customHeight="1" s="28">
      <c r="B12" s="40" t="inlineStr">
        <is>
          <t>A.8 Information for interested parties</t>
        </is>
      </c>
      <c r="C12" s="41">
        <f>COUNTIF(SoA!B:B,"A.8 Information for interested parties")</f>
        <v/>
      </c>
      <c r="D12" s="41">
        <f>COUNTIFS(SoA!B:B,"A.8 Information for interested parties",SoA!E:E,"Yes")</f>
        <v/>
      </c>
      <c r="E12" s="41">
        <f>COUNTIFS(SoA!B:B,"A.8 Information for interested parties",SoA!G:G,"Implemented")</f>
        <v/>
      </c>
      <c r="F12" s="41">
        <f>COUNTIFS(SoA!B:B,"A.8 Information for interested parties",SoA!G:G,"In Progress")</f>
        <v/>
      </c>
      <c r="G12" s="45">
        <f>IFERROR(D11/C11,0)</f>
        <v/>
      </c>
    </row>
    <row r="13" ht="23.85" customHeight="1" s="28">
      <c r="B13" s="40" t="inlineStr">
        <is>
          <t>A.9 Use of AI systems</t>
        </is>
      </c>
      <c r="C13" s="41">
        <f>COUNTIF(SoA!B:B,"A.9 Use of AI systems")</f>
        <v/>
      </c>
      <c r="D13" s="41">
        <f>COUNTIFS(SoA!B:B,"A.9 Use of AI systems",SoA!E:E,"Yes")</f>
        <v/>
      </c>
      <c r="E13" s="41">
        <f>COUNTIFS(SoA!B:B,"A.9 Use of AI systems",SoA!G:G,"Implemented")</f>
        <v/>
      </c>
      <c r="F13" s="41">
        <f>COUNTIFS(SoA!B:B,"A.9 Use of AI systems",SoA!G:G,"In Progress")</f>
        <v/>
      </c>
      <c r="G13" s="45">
        <f>IFERROR(D12/C12,0)</f>
        <v/>
      </c>
    </row>
    <row r="14" ht="15" customHeight="1" s="28">
      <c r="B14" s="40" t="inlineStr">
        <is>
          <t>A.10 Third-party and customer relationships</t>
        </is>
      </c>
      <c r="C14" s="41">
        <f>COUNTIF(SoA!B:B,"A.10 Third-party and customer relationships")</f>
        <v/>
      </c>
      <c r="D14" s="41">
        <f>COUNTIFS(SoA!B:B,"A.10 Third-party and customer relationships",SoA!E:E,"Yes")</f>
        <v/>
      </c>
      <c r="E14" s="41">
        <f>COUNTIFS(SoA!B:B,"A.10 Third-party and customer relationships",SoA!G:G,"Implemented")</f>
        <v/>
      </c>
      <c r="F14" s="41">
        <f>COUNTIFS(SoA!B:B,"A.10 Third-party and customer relationships",SoA!G:G,"In Progress")</f>
        <v/>
      </c>
      <c r="G14" s="45">
        <f>IFERROR(D13/C13,0)</f>
        <v/>
      </c>
    </row>
    <row r="15">
      <c r="B15" s="46" t="inlineStr">
        <is>
          <t>TOTAL</t>
        </is>
      </c>
      <c r="C15" s="47">
        <f>SUM(C5:C13)</f>
        <v/>
      </c>
      <c r="D15" s="47">
        <f>SUM(D5:D13)</f>
        <v/>
      </c>
      <c r="E15" s="47">
        <f>SUM(E5:E13)</f>
        <v/>
      </c>
      <c r="F15" s="47">
        <f>SUM(F5:F13)</f>
        <v/>
      </c>
      <c r="G15" s="48">
        <f>IFERROR(D14/C14,0)</f>
        <v/>
      </c>
    </row>
    <row r="16" ht="17.35" customHeight="1" s="28"/>
    <row r="17" ht="31.5" customHeight="1" s="28">
      <c r="B17" s="35" t="inlineStr">
        <is>
          <t>SoA Summary — by Implementation Status</t>
        </is>
      </c>
    </row>
    <row r="18" ht="15" customHeight="1" s="28">
      <c r="B18" s="38" t="inlineStr">
        <is>
          <t>Status</t>
        </is>
      </c>
      <c r="C18" s="38" t="inlineStr">
        <is>
          <t>Count</t>
        </is>
      </c>
      <c r="D18" s="38" t="inlineStr">
        <is>
          <t>Share of Applicable</t>
        </is>
      </c>
    </row>
    <row r="19" ht="15" customHeight="1" s="28">
      <c r="B19" s="49" t="inlineStr">
        <is>
          <t>Implemented</t>
        </is>
      </c>
      <c r="C19" s="41">
        <f>COUNTIF(SoA!G:G,"Implemented")</f>
        <v/>
      </c>
      <c r="D19" s="45">
        <f>IFERROR(C18/COUNTIF(SoA!E:E,"Yes"),0)</f>
        <v/>
      </c>
    </row>
    <row r="20" ht="15" customHeight="1" s="28">
      <c r="B20" s="50" t="inlineStr">
        <is>
          <t>In Progress</t>
        </is>
      </c>
      <c r="C20" s="41">
        <f>COUNTIF(SoA!G:G,"In Progress")</f>
        <v/>
      </c>
      <c r="D20" s="45">
        <f>IFERROR(C19/COUNTIF(SoA!E:E,"Yes"),0)</f>
        <v/>
      </c>
    </row>
    <row r="21" ht="15" customHeight="1" s="28">
      <c r="B21" s="51" t="inlineStr">
        <is>
          <t>Planned</t>
        </is>
      </c>
      <c r="C21" s="41">
        <f>COUNTIF(SoA!G:G,"Planned")</f>
        <v/>
      </c>
      <c r="D21" s="45">
        <f>IFERROR(C20/COUNTIF(SoA!E:E,"Yes"),0)</f>
        <v/>
      </c>
    </row>
    <row r="22">
      <c r="B22" s="52" t="inlineStr">
        <is>
          <t>N/A</t>
        </is>
      </c>
      <c r="C22" s="41">
        <f>COUNTIF(SoA!G:G,"N/A")</f>
        <v/>
      </c>
      <c r="D22" s="45">
        <f>IFERROR(C21/COUNTIF(SoA!E:E,"Yes"),0)</f>
        <v/>
      </c>
    </row>
  </sheetData>
  <sheetProtection selectLockedCells="0" selectUnlockedCells="0" sheet="1" objects="0" insertRows="0" insertHyperlinks="0" autoFilter="1" scenarios="0" formatColumns="0" deleteColumns="0" insertColumns="0" pivotTables="0" deleteRows="0" formatCells="0" formatRows="0" sort="1" password="96FA"/>
  <mergeCells count="1">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&amp;C&amp;10 &amp;KC2410C&amp;B&amp;"Calibri"&amp;10&amp;K592816Tejaswini Dondeti — Portfolio Sample</oddHeader>
    <oddFooter/>
    <evenHeader>&amp;C&amp;10 &amp;KC2410C&amp;B&amp;"Calibri"&amp;10&amp;K592816Tejaswini Dondeti — Portfolio Sample</evenHeader>
    <evenFooter/>
    <firstHeader/>
    <firstFooter/>
  </headerFooter>
</worksheet>
</file>

<file path=xl/worksheets/sheet4.xml><?xml version="1.0" encoding="utf-8"?>
<worksheet xmlns="http://schemas.openxmlformats.org/spreadsheetml/2006/main">
  <sheetPr filterMode="0">
    <outlinePr summaryBelow="1" summaryRight="1"/>
    <pageSetUpPr fitToPage="0"/>
  </sheetPr>
  <dimension ref="A1:C13"/>
  <sheetViews>
    <sheetView showFormulas="0" showGridLines="0"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A1" activeCellId="0" sqref="A1"/>
    </sheetView>
  </sheetViews>
  <sheetFormatPr baseColWidth="8" defaultColWidth="8.6796875" defaultRowHeight="15" customHeight="0" zeroHeight="0" outlineLevelRow="0"/>
  <cols>
    <col width="3" customWidth="1" style="27" min="1" max="1"/>
    <col width="22" customWidth="1" style="27" min="2" max="2"/>
    <col width="80" customWidth="1" style="27" min="3" max="3"/>
  </cols>
  <sheetData>
    <row r="1" ht="30" customHeight="1" s="28">
      <c r="A1" s="29" t="inlineStr">
        <is>
          <t>Tejaswini Dondeti — Portfolio Sample  •  tejaswinidondeti.github.io  •  Read-only preview — please do not edit or redistribute</t>
        </is>
      </c>
    </row>
    <row r="2" ht="19.7" customHeight="1" s="28"/>
    <row r="3">
      <c r="B3" s="44" t="inlineStr">
        <is>
          <t>Legend</t>
        </is>
      </c>
    </row>
    <row r="4" ht="15" customHeight="1" s="28"/>
    <row r="5" ht="31.5" customHeight="1" s="28">
      <c r="B5" s="53" t="inlineStr">
        <is>
          <t>Term</t>
        </is>
      </c>
      <c r="C5" s="53" t="inlineStr">
        <is>
          <t>Definition</t>
        </is>
      </c>
    </row>
    <row r="6" ht="31.5" customHeight="1" s="28">
      <c r="B6" s="54" t="inlineStr">
        <is>
          <t>Applicable (Yes)</t>
        </is>
      </c>
      <c r="C6" s="40" t="inlineStr">
        <is>
          <t>The control is within scope of MindfulAI's AIMS and is (or is being) implemented.</t>
        </is>
      </c>
    </row>
    <row r="7" ht="31.5" customHeight="1" s="28">
      <c r="B7" s="54" t="inlineStr">
        <is>
          <t>Applicable (No)</t>
        </is>
      </c>
      <c r="C7" s="40" t="inlineStr">
        <is>
          <t>Control is excluded; justification must be documented (none at present — every Annex A control applies given MindfulAI's scope).</t>
        </is>
      </c>
    </row>
    <row r="8" ht="31.5" customHeight="1" s="28">
      <c r="B8" s="54" t="inlineStr">
        <is>
          <t>Implemented</t>
        </is>
      </c>
      <c r="C8" s="40" t="inlineStr">
        <is>
          <t>Control is fully operating, with documented evidence, and has been reviewed at least once.</t>
        </is>
      </c>
    </row>
    <row r="9" ht="31.5" customHeight="1" s="28">
      <c r="B9" s="54" t="inlineStr">
        <is>
          <t>In Progress</t>
        </is>
      </c>
      <c r="C9" s="40" t="inlineStr">
        <is>
          <t>Control is partially implemented; remediation is underway with a defined target date.</t>
        </is>
      </c>
    </row>
    <row r="10" ht="31.5" customHeight="1" s="28">
      <c r="B10" s="54" t="inlineStr">
        <is>
          <t>Planned</t>
        </is>
      </c>
      <c r="C10" s="40" t="inlineStr">
        <is>
          <t>Control is in scope but not yet started; included in the roadmap.</t>
        </is>
      </c>
    </row>
    <row r="11" ht="31.5" customHeight="1" s="28">
      <c r="B11" s="54" t="inlineStr">
        <is>
          <t>N/A</t>
        </is>
      </c>
      <c r="C11" s="40" t="inlineStr">
        <is>
          <t>Control does not apply to the current scope.</t>
        </is>
      </c>
    </row>
    <row r="12" ht="31.5" customHeight="1" s="28">
      <c r="B12" s="54" t="inlineStr">
        <is>
          <t>Linked Policy</t>
        </is>
      </c>
      <c r="C12" s="40" t="inlineStr">
        <is>
          <t>MindfulAI policy ID where the control's normative requirement is codified.</t>
        </is>
      </c>
    </row>
    <row r="13">
      <c r="B13" s="54" t="inlineStr">
        <is>
          <t>Linked Risk</t>
        </is>
      </c>
      <c r="C13" s="40" t="inlineStr">
        <is>
          <t>AI Risk Register entry that this control partially or fully treats.</t>
        </is>
      </c>
    </row>
  </sheetData>
  <sheetProtection selectLockedCells="0" selectUnlockedCells="0" sheet="1" objects="0" insertRows="0" insertHyperlinks="0" autoFilter="1" scenarios="0" formatColumns="0" deleteColumns="0" insertColumns="0" pivotTables="0" deleteRows="0" formatCells="0" formatRows="0" sort="1" password="96F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&amp;C&amp;10 &amp;KC2410C&amp;B&amp;"Calibri"&amp;10&amp;K592816Tejaswini Dondeti — Portfolio Sample</oddHeader>
    <oddFooter/>
    <evenHeader>&amp;C&amp;10 &amp;KC2410C&amp;B&amp;"Calibri"&amp;10&amp;K592816Tejaswini Dondeti — Portfolio Sample</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2026-04-22T17:39:06Z</dcterms:created>
  <dcterms:modified xmlns:dcterms="http://purl.org/dc/terms/" xmlns:xsi="http://www.w3.org/2001/XMLSchema-instance" xsi:type="dcterms:W3CDTF">2026-04-22T17:56:35Z</dcterms:modified>
  <cp:revision>0</cp:revision>
</cp:coreProperties>
</file>